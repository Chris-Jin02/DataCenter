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18b342ee7b413e" /></Relationships>
</file>

<file path=xl/workbook.xml><?xml version="1.0" encoding="utf-8"?>
<x:workbook xmlns:x="http://schemas.openxmlformats.org/spreadsheetml/2006/main">
  <x:sheets>
    <x:sheet xmlns:r="http://schemas.openxmlformats.org/officeDocument/2006/relationships" name="README" sheetId="1" r:id="R0d2aded890494020"/>
    <x:sheet xmlns:r="http://schemas.openxmlformats.org/officeDocument/2006/relationships" name="Summary" sheetId="2" r:id="R1cc297d0f7004afc"/>
    <x:sheet xmlns:r="http://schemas.openxmlformats.org/officeDocument/2006/relationships" name="Master" sheetId="3" r:id="R5813bdeb2eac46ba"/>
    <x:sheet xmlns:r="http://schemas.openxmlformats.org/officeDocument/2006/relationships" name="Raw_Aligned" sheetId="4" r:id="R3b25501127854222"/>
    <x:sheet xmlns:r="http://schemas.openxmlformats.org/officeDocument/2006/relationships" name="Match_Audit" sheetId="5" r:id="Rd134fd093d564f31"/>
    <x:sheet xmlns:r="http://schemas.openxmlformats.org/officeDocument/2006/relationships" name="Review_Pairs" sheetId="6" r:id="R2090a52bcc934526"/>
    <x:sheet xmlns:r="http://schemas.openxmlformats.org/officeDocument/2006/relationships" name="Excluded_Support" sheetId="7" r:id="Rf5dfaf003577423a"/>
    <x:sheet xmlns:r="http://schemas.openxmlformats.org/officeDocument/2006/relationships" name="Field_Map" sheetId="8" r:id="Rbd0d0e93089f4341"/>
    <x:sheet xmlns:r="http://schemas.openxmlformats.org/officeDocument/2006/relationships" name="Candidate_Sites" sheetId="9" r:id="R016acd8d38e047c4"/>
    <x:sheet xmlns:r="http://schemas.openxmlformats.org/officeDocument/2006/relationships" name="Change_Log" sheetId="10" r:id="R226e36a77a544718"/>
    <x:sheet xmlns:r="http://schemas.openxmlformats.org/officeDocument/2006/relationships" name="Proposal_Readiness" sheetId="11" r:id="R1acf0415faed407e"/>
    <x:sheet xmlns:r="http://schemas.openxmlformats.org/officeDocument/2006/relationships" name="Review_Queue" sheetId="12" r:id="Rcd08d83c01af4cd3"/>
    <x:sheet xmlns:r="http://schemas.openxmlformats.org/officeDocument/2006/relationships" name="Location_Audit" sheetId="13" r:id="Rf58b1f9db49d44a3"/>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
    <x:numFmt numFmtId="201" formatCode="0.000000"/>
    <x:numFmt numFmtId="202" formatCode="0.0000"/>
    <x:numFmt numFmtId="203" formatCode="$#,##0"/>
    <x:numFmt numFmtId="204" formatCode="#,##0"/>
    <x:numFmt numFmtId="205" formatCode="yyyy-mm-dd hh:mm"/>
    <x:numFmt numFmtId="206" formatCode="0.000"/>
    <x:numFmt numFmtId="207" formatCode="0.00"/>
    <x:numFmt numFmtId="208" formatCode="0"/>
    <x:numFmt numFmtId="209" formatCode="yyyy-mm-dd"/>
  </x:numFmts>
  <x:fonts count="9">
    <x:font>
      <x:sz val="11"/>
      <x:name val="Carlito"/>
    </x:font>
    <x:font>
      <x:b/>
      <x:sz val="11"/>
      <x:color rgb="FFFFFFFF"/>
      <x:name val="Carlito"/>
    </x:font>
    <x:font>
      <x:b/>
      <x:sz val="18"/>
      <x:color rgb="FFFFFFFF"/>
      <x:name val="Carlito"/>
    </x:font>
    <x:font>
      <x:b/>
      <x:sz val="11"/>
      <x:color rgb="FF16324F"/>
      <x:name val="Carlito"/>
    </x:font>
    <x:font>
      <x:b/>
      <x:sz val="17"/>
      <x:color rgb="FFFFFFFF"/>
      <x:name val="Carlito"/>
    </x:font>
    <x:font>
      <x:b/>
      <x:sz val="16"/>
      <x:color rgb="FFFFFFFF"/>
      <x:name val="Carlito"/>
    </x:font>
    <x:font>
      <x:b/>
      <x:sz val="14"/>
      <x:name val="Carlito"/>
    </x:font>
    <x:font>
      <x:b/>
      <x:sz val="11"/>
      <x:color rgb="FF153B5B"/>
      <x:name val="Carlito"/>
    </x:font>
    <x:font>
      <x:b/>
      <x:sz val="11"/>
      <x:color rgb="FF7A4E00"/>
      <x:name val="Carlito"/>
    </x:font>
  </x:fonts>
  <x:fills count="19">
    <x:fill>
      <x:patternFill patternType="none"/>
    </x:fill>
    <x:fill>
      <x:patternFill patternType="gray125"/>
    </x:fill>
    <x:fill>
      <x:patternFill patternType="solid">
        <x:fgColor rgb="FF16324F"/>
      </x:patternFill>
    </x:fill>
    <x:fill>
      <x:patternFill patternType="solid">
        <x:fgColor rgb="FFFFF2CC"/>
      </x:patternFill>
    </x:fill>
    <x:fill>
      <x:patternFill patternType="solid">
        <x:fgColor rgb="FF2F6690"/>
      </x:patternFill>
    </x:fill>
    <x:fill>
      <x:patternFill patternType="solid">
        <x:fgColor rgb="FFD9EAF7"/>
      </x:patternFill>
    </x:fill>
    <x:fill>
      <x:patternFill patternType="solid">
        <x:fgColor rgb="FF5B8DB8"/>
      </x:patternFill>
    </x:fill>
    <x:fill>
      <x:patternFill patternType="solid">
        <x:fgColor rgb="FF153B5B"/>
      </x:patternFill>
    </x:fill>
    <x:fill>
      <x:patternFill patternType="solid">
        <x:fgColor rgb="FF1E5B84"/>
      </x:patternFill>
    </x:fill>
    <x:fill>
      <x:patternFill patternType="solid">
        <x:fgColor rgb="FFF3F7FA"/>
      </x:patternFill>
    </x:fill>
    <x:fill>
      <x:patternFill patternType="solid">
        <x:fgColor rgb="FFD9E8F2"/>
      </x:patternFill>
    </x:fill>
    <x:fill>
      <x:patternFill patternType="solid">
        <x:fgColor rgb="FFFFF4D6"/>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14">
    <x:border/>
    <x:border>
      <x:left style="thin">
        <x:color rgb="FF0F2236"/>
      </x:left>
      <x:top style="thin">
        <x:color rgb="FF0F2236"/>
      </x:top>
      <x:bottom style="thin">
        <x:color rgb="FF0F2236"/>
      </x:bottom>
    </x:border>
    <x:border>
      <x:top style="thin">
        <x:color rgb="FF0F2236"/>
      </x:top>
      <x:bottom style="thin">
        <x:color rgb="FF0F2236"/>
      </x:bottom>
    </x:border>
    <x:border>
      <x:right style="thin">
        <x:color rgb="FF0F2236"/>
      </x:right>
      <x:top style="thin">
        <x:color rgb="FF0F2236"/>
      </x:top>
      <x:bottom style="thin">
        <x:color rgb="FF0F2236"/>
      </x:bottom>
    </x:border>
    <x:border>
      <x:right style="thin">
        <x:color rgb="FFE6EBF0"/>
      </x:right>
      <x:bottom style="thin">
        <x:color rgb="FFE6EBF0"/>
      </x:bottom>
    </x:border>
    <x:border>
      <x:left style="thin">
        <x:color rgb="FFE6EBF0"/>
      </x:left>
      <x:right style="thin">
        <x:color rgb="FFE6EBF0"/>
      </x:right>
      <x:bottom style="thin">
        <x:color rgb="FFE6EBF0"/>
      </x:bottom>
    </x:border>
    <x:border>
      <x:left style="thin">
        <x:color rgb="FFE6EBF0"/>
      </x:left>
      <x:bottom style="thin">
        <x:color rgb="FFE6EBF0"/>
      </x:bottom>
    </x:border>
    <x:border>
      <x:right style="thin">
        <x:color rgb="FFE6EBF0"/>
      </x:right>
      <x:top style="thin">
        <x:color rgb="FFE6EBF0"/>
      </x:top>
      <x:bottom style="thin">
        <x:color rgb="FFE6EBF0"/>
      </x:bottom>
    </x:border>
    <x:border>
      <x:left style="thin">
        <x:color rgb="FFE6EBF0"/>
      </x:left>
      <x:right style="thin">
        <x:color rgb="FFE6EBF0"/>
      </x:right>
      <x:top style="thin">
        <x:color rgb="FFE6EBF0"/>
      </x:top>
      <x:bottom style="thin">
        <x:color rgb="FFE6EBF0"/>
      </x:bottom>
    </x:border>
    <x:border>
      <x:left style="thin">
        <x:color rgb="FFE6EBF0"/>
      </x:left>
      <x:top style="thin">
        <x:color rgb="FFE6EBF0"/>
      </x:top>
      <x:bottom style="thin">
        <x:color rgb="FFE6EBF0"/>
      </x:bottom>
    </x:border>
    <x:border>
      <x:right style="thin">
        <x:color rgb="FFE6EBF0"/>
      </x:right>
      <x:top style="thin">
        <x:color rgb="FFE6EBF0"/>
      </x:top>
    </x:border>
    <x:border>
      <x:left style="thin">
        <x:color rgb="FFE6EBF0"/>
      </x:left>
      <x:right style="thin">
        <x:color rgb="FFE6EBF0"/>
      </x:right>
      <x:top style="thin">
        <x:color rgb="FFE6EBF0"/>
      </x:top>
    </x:border>
    <x:border>
      <x:left style="thin">
        <x:color rgb="FFE6EBF0"/>
      </x:left>
      <x:top style="thin">
        <x:color rgb="FFE6EBF0"/>
      </x:top>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1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0" fillId="0" borderId="12" xfId="0" applyNumberFormat="1" applyFont="1" applyFill="1" applyBorder="1" applyAlignment="1">
      <x:alignment vertical="top"/>
    </x:xf>
    <x:xf numFmtId="0" fontId="0" fillId="0" borderId="5"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0" fontId="0" fillId="0" borderId="5" xfId="0" applyNumberFormat="1" applyFont="1" applyFill="1" applyBorder="1" applyAlignment="1">
      <x:alignment vertical="top"/>
    </x:xf>
    <x:xf numFmtId="200" fontId="0" fillId="0" borderId="8" xfId="0" applyNumberFormat="1" applyFont="1" applyFill="1" applyBorder="1" applyAlignment="1">
      <x:alignment vertical="top"/>
    </x:xf>
    <x:xf numFmtId="200" fontId="0" fillId="0" borderId="11" xfId="0" applyNumberFormat="1" applyFont="1" applyFill="1" applyBorder="1" applyAlignment="1">
      <x:alignment vertical="top"/>
    </x:xf>
    <x:xf numFmtId="201" fontId="0" fillId="0" borderId="5" xfId="0" applyNumberFormat="1" applyFont="1" applyFill="1" applyBorder="1" applyAlignment="1">
      <x:alignment vertical="top"/>
    </x:xf>
    <x:xf numFmtId="201" fontId="0" fillId="0" borderId="8" xfId="0" applyNumberFormat="1" applyFont="1" applyFill="1" applyBorder="1" applyAlignment="1">
      <x:alignment vertical="top"/>
    </x:xf>
    <x:xf numFmtId="201" fontId="0" fillId="0" borderId="11" xfId="0" applyNumberFormat="1" applyFont="1" applyFill="1" applyBorder="1" applyAlignment="1">
      <x:alignment vertical="top"/>
    </x:xf>
    <x:xf numFmtId="202" fontId="0" fillId="0" borderId="5" xfId="0" applyNumberFormat="1" applyFont="1" applyFill="1" applyBorder="1" applyAlignment="1">
      <x:alignment vertical="top"/>
    </x:xf>
    <x:xf numFmtId="202" fontId="0" fillId="0" borderId="8" xfId="0" applyNumberFormat="1" applyFont="1" applyFill="1" applyBorder="1" applyAlignment="1">
      <x:alignment vertical="top"/>
    </x:xf>
    <x:xf numFmtId="202" fontId="0" fillId="0" borderId="11" xfId="0" applyNumberFormat="1" applyFont="1" applyFill="1" applyBorder="1" applyAlignment="1">
      <x:alignment vertical="top"/>
    </x:xf>
    <x:xf numFmtId="203" fontId="0" fillId="0" borderId="5" xfId="0" applyNumberFormat="1" applyFont="1" applyFill="1" applyBorder="1" applyAlignment="1">
      <x:alignment vertical="top"/>
    </x:xf>
    <x:xf numFmtId="203" fontId="0" fillId="0" borderId="8" xfId="0" applyNumberFormat="1" applyFont="1" applyFill="1" applyBorder="1" applyAlignment="1">
      <x:alignment vertical="top"/>
    </x:xf>
    <x:xf numFmtId="203" fontId="0" fillId="0" borderId="11" xfId="0" applyNumberFormat="1" applyFont="1" applyFill="1" applyBorder="1" applyAlignment="1">
      <x:alignment vertical="top"/>
    </x:xf>
    <x:xf numFmtId="0" fontId="0" fillId="0" borderId="4"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202" fontId="0" fillId="0" borderId="5"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3" borderId="5" xfId="0" applyNumberFormat="1" applyFont="1" applyFill="1" applyBorder="1" applyAlignment="1">
      <x:alignment vertical="top"/>
    </x:xf>
    <x:xf numFmtId="0" fontId="0" fillId="3" borderId="11"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4" borderId="13" xfId="0" applyNumberFormat="1" applyFont="1" applyFill="1" applyBorder="1"/>
    <x:xf numFmtId="0" fontId="0" fillId="0" borderId="13" xfId="0" applyNumberFormat="1" applyFont="1" applyFill="1" applyBorder="1"/>
    <x:xf numFmtId="0" fontId="3" fillId="5" borderId="13" xfId="0" applyNumberFormat="1" applyFont="1" applyFill="1" applyBorder="1"/>
    <x:xf numFmtId="0" fontId="1" fillId="6" borderId="13" xfId="0" applyNumberFormat="1" applyFont="1" applyFill="1" applyBorder="1"/>
    <x:xf numFmtId="204" fontId="0" fillId="0" borderId="13" xfId="0" applyNumberFormat="1" applyFont="1" applyFill="1" applyBorder="1"/>
    <x:xf numFmtId="0" fontId="1" fillId="4" borderId="13" xfId="0" applyNumberFormat="1" applyFont="1" applyFill="1" applyBorder="1" applyAlignment="1">
      <x:alignment vertical="top"/>
    </x:xf>
    <x:xf numFmtId="0" fontId="0" fillId="0" borderId="13" xfId="0" applyNumberFormat="1" applyFont="1" applyFill="1" applyBorder="1" applyAlignment="1">
      <x:alignment vertical="top"/>
    </x:xf>
    <x:xf numFmtId="204" fontId="0" fillId="0" borderId="13" xfId="0" applyNumberFormat="1" applyFont="1" applyFill="1" applyBorder="1" applyAlignment="1">
      <x:alignment vertical="top"/>
    </x:xf>
    <x:xf numFmtId="0" fontId="3" fillId="5" borderId="13" xfId="0" applyNumberFormat="1" applyFont="1" applyFill="1" applyBorder="1" applyAlignment="1">
      <x:alignment vertical="top"/>
    </x:xf>
    <x:xf numFmtId="0" fontId="1" fillId="6" borderId="13" xfId="0" applyNumberFormat="1" applyFont="1" applyFill="1" applyBorder="1" applyAlignment="1">
      <x:alignment vertical="top"/>
    </x:xf>
    <x:xf numFmtId="0" fontId="0" fillId="0" borderId="13" xfId="0" applyNumberFormat="1" applyFont="1" applyFill="1" applyBorder="1" applyAlignment="1">
      <x:alignment vertical="top" wrapText="1"/>
    </x:xf>
    <x:xf numFmtId="0" fontId="1" fillId="6" borderId="1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0" fillId="0" borderId="0"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5" fontId="0" fillId="0" borderId="13" xfId="0" applyNumberFormat="1" applyFont="1" applyFill="1" applyBorder="1" applyAlignment="1">
      <x:alignment vertical="top" wrapText="1"/>
    </x:xf>
    <x:xf numFmtId="0" fontId="0" fillId="0"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6" fontId="0" fillId="0" borderId="5" xfId="0" applyNumberFormat="1" applyFont="1" applyFill="1" applyBorder="1" applyAlignment="1">
      <x:alignment vertical="top"/>
    </x:xf>
    <x:xf numFmtId="206" fontId="0" fillId="0" borderId="8" xfId="0" applyNumberFormat="1" applyFont="1" applyFill="1" applyBorder="1" applyAlignment="1">
      <x:alignment vertical="top"/>
    </x:xf>
    <x:xf numFmtId="206" fontId="0" fillId="0" borderId="11" xfId="0" applyNumberFormat="1" applyFont="1" applyFill="1" applyBorder="1" applyAlignment="1">
      <x:alignment vertical="top"/>
    </x:xf>
    <x:xf numFmtId="207" fontId="0" fillId="0" borderId="5" xfId="0" applyNumberFormat="1" applyFont="1" applyFill="1" applyBorder="1" applyAlignment="1">
      <x:alignment vertical="top"/>
    </x:xf>
    <x:xf numFmtId="207" fontId="0" fillId="0" borderId="8" xfId="0" applyNumberFormat="1" applyFont="1" applyFill="1" applyBorder="1" applyAlignment="1">
      <x:alignment vertical="top"/>
    </x:xf>
    <x:xf numFmtId="207" fontId="0" fillId="0" borderId="11" xfId="0" applyNumberFormat="1" applyFont="1" applyFill="1" applyBorder="1" applyAlignment="1">
      <x:alignment vertical="top"/>
    </x:xf>
    <x:xf numFmtId="208" fontId="0" fillId="0" borderId="5" xfId="0" applyNumberFormat="1" applyFont="1" applyFill="1" applyBorder="1" applyAlignment="1">
      <x:alignment vertical="top"/>
    </x:xf>
    <x:xf numFmtId="208" fontId="0" fillId="0" borderId="8" xfId="0" applyNumberFormat="1" applyFont="1" applyFill="1" applyBorder="1" applyAlignment="1">
      <x:alignment vertical="top"/>
    </x:xf>
    <x:xf numFmtId="208" fontId="0" fillId="0" borderId="11" xfId="0" applyNumberFormat="1" applyFont="1" applyFill="1" applyBorder="1" applyAlignment="1">
      <x:alignment vertical="top"/>
    </x:xf>
    <x:xf numFmtId="208" fontId="0" fillId="0" borderId="0" xfId="0" applyNumberFormat="1" applyFont="1" applyFill="1" applyBorder="1" applyAlignment="1">
      <x:alignment wrapText="1"/>
    </x:xf>
    <x:xf numFmtId="0" fontId="5" fillId="7" borderId="0" xfId="0" applyNumberFormat="1" applyFont="1" applyFill="1" applyBorder="1"/>
    <x:xf numFmtId="0" fontId="5" fillId="7" borderId="0" xfId="0" applyNumberFormat="1" applyFont="1" applyFill="1" applyBorder="1" applyAlignment="1">
      <x:alignment horizontal="left"/>
    </x:xf>
    <x:xf numFmtId="0" fontId="5" fillId="7" borderId="0" xfId="0" applyNumberFormat="1" applyFont="1" applyFill="1" applyBorder="1" applyAlignment="1">
      <x:alignment horizontal="left"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0" fontId="6" fillId="9" borderId="0" xfId="0" applyNumberFormat="1" applyFont="1" applyFill="1" applyBorder="1" applyAlignment="1">
      <x:alignment wrapText="1"/>
    </x:xf>
    <x:xf numFmtId="0" fontId="6" fillId="0"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0"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wrapText="1"/>
    </x:xf>
    <x:xf numFmtId="0" fontId="0" fillId="10" borderId="0" xfId="0" applyNumberFormat="1" applyFont="1" applyFill="1" applyBorder="1"/>
    <x:xf numFmtId="0" fontId="7" fillId="10" borderId="0" xfId="0" applyNumberFormat="1" applyFont="1" applyFill="1" applyBorder="1"/>
    <x:xf numFmtId="0" fontId="7"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12" borderId="0" xfId="0" applyNumberFormat="1" applyFont="1" applyFill="1" applyBorder="1" applyAlignment="1">
      <x:alignment wrapText="1"/>
    </x:xf>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209" fontId="0" fillId="0" borderId="0" xfId="0" applyNumberFormat="1" applyFont="1" applyFill="1" applyBorder="1"/>
    <x:xf numFmtId="209" fontId="0" fillId="0" borderId="0" xfId="0" applyNumberFormat="1" applyFont="1" applyFill="1" applyBorder="1" applyAlignment="1">
      <x:alignment wrapText="1"/>
    </x:xf>
    <x:xf numFmtId="209" fontId="0" fillId="0" borderId="6" xfId="0" applyNumberFormat="1" applyFont="1" applyFill="1" applyBorder="1" applyAlignment="1">
      <x:alignment vertical="top"/>
    </x:xf>
    <x:xf numFmtId="209" fontId="0" fillId="0" borderId="9" xfId="0" applyNumberFormat="1" applyFont="1" applyFill="1" applyBorder="1" applyAlignment="1">
      <x:alignment vertical="top"/>
    </x:xf>
    <x:xf numFmtId="209" fontId="0" fillId="0" borderId="12" xfId="0" applyNumberFormat="1" applyFont="1" applyFill="1" applyBorder="1" applyAlignment="1">
      <x:alignment vertical="top"/>
    </x:xf>
    <x:xf numFmtId="209" fontId="0" fillId="0" borderId="6" xfId="0" applyNumberFormat="1" applyFont="1" applyFill="1" applyBorder="1" applyAlignment="1">
      <x:alignment vertical="top" wrapText="1"/>
    </x:xf>
    <x:xf numFmtId="209" fontId="0" fillId="0" borderId="9" xfId="0" applyNumberFormat="1" applyFont="1" applyFill="1" applyBorder="1" applyAlignment="1">
      <x:alignment vertical="top" wrapText="1"/>
    </x:xf>
    <x:xf numFmtId="209" fontId="0" fillId="0" borderId="12" xfId="0" applyNumberFormat="1" applyFont="1" applyFill="1" applyBorder="1" applyAlignment="1">
      <x:alignment vertical="top" wrapText="1"/>
    </x:xf>
    <x:xf numFmtId="0" fontId="2" fillId="2" borderId="0" xfId="0" applyNumberFormat="1" applyFont="1" applyFill="1" applyBorder="1" applyAlignment="1">
      <x:alignment horizontal="left" vertical="center" wrapText="1"/>
    </x:xf>
    <x:xf numFmtId="204" fontId="0" fillId="0" borderId="13"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5" fillId="7" borderId="0" xfId="0" applyNumberFormat="1" applyFont="1" applyFill="1" applyBorder="1" applyAlignment="1">
      <x:alignment horizontal="left"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4" borderId="0" xfId="0" applyNumberFormat="1" applyFont="1" applyFill="1" applyBorder="1" applyAlignment="1">
      <x:alignment wrapText="1"/>
    </x:xf>
    <x:xf numFmtId="0" fontId="1" fillId="15" borderId="0" xfId="0" applyNumberFormat="1" applyFont="1" applyFill="1" applyBorder="1" applyAlignment="1">
      <x:alignment wrapText="1"/>
    </x:xf>
    <x:xf numFmtId="0" fontId="1" fillId="16" borderId="0" xfId="0" applyNumberFormat="1" applyFont="1" applyFill="1" applyBorder="1" applyAlignment="1">
      <x:alignment wrapText="1"/>
    </x:xf>
    <x:xf numFmtId="0" fontId="1" fillId="17" borderId="0" xfId="0" applyNumberFormat="1" applyFont="1" applyFill="1" applyBorder="1" applyAlignment="1">
      <x:alignment wrapText="1"/>
    </x:xf>
    <x:xf numFmtId="0" fontId="1" fillId="1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e40554170d4f65" /><Relationship Type="http://schemas.openxmlformats.org/officeDocument/2006/relationships/theme" Target="/xl/theme/theme1.xml" Id="Re59b11a93bec4a2a" /><Relationship Type="http://schemas.microsoft.com/office/2022/11/relationships/FeaturePropertyBag" Target="/xl/featurePropertyBag/featurePropertyBag.xml" Id="Rf935e0171b694393" /><Relationship Type="http://schemas.openxmlformats.org/officeDocument/2006/relationships/sharedStrings" Target="/xl/sharedStrings.xml" Id="R9cc9e1cf2d2c4f96" /><Relationship Type="http://schemas.openxmlformats.org/officeDocument/2006/relationships/worksheet" Target="/xl/worksheets/sheet1.xml" Id="R0d2aded890494020" /><Relationship Type="http://schemas.openxmlformats.org/officeDocument/2006/relationships/worksheet" Target="/xl/worksheets/sheet2.xml" Id="R1cc297d0f7004afc" /><Relationship Type="http://schemas.openxmlformats.org/officeDocument/2006/relationships/worksheet" Target="/xl/worksheets/sheet3.xml" Id="R5813bdeb2eac46ba" /><Relationship Type="http://schemas.openxmlformats.org/officeDocument/2006/relationships/worksheet" Target="/xl/worksheets/sheet4.xml" Id="R3b25501127854222" /><Relationship Type="http://schemas.openxmlformats.org/officeDocument/2006/relationships/worksheet" Target="/xl/worksheets/sheet5.xml" Id="Rd134fd093d564f31" /><Relationship Type="http://schemas.openxmlformats.org/officeDocument/2006/relationships/worksheet" Target="/xl/worksheets/sheet6.xml" Id="R2090a52bcc934526" /><Relationship Type="http://schemas.openxmlformats.org/officeDocument/2006/relationships/worksheet" Target="/xl/worksheets/sheet7.xml" Id="Rf5dfaf003577423a" /><Relationship Type="http://schemas.openxmlformats.org/officeDocument/2006/relationships/worksheet" Target="/xl/worksheets/sheet8.xml" Id="Rbd0d0e93089f4341" /><Relationship Type="http://schemas.openxmlformats.org/officeDocument/2006/relationships/worksheet" Target="/xl/worksheets/sheet9.xml" Id="R016acd8d38e047c4" /><Relationship Type="http://schemas.openxmlformats.org/officeDocument/2006/relationships/worksheet" Target="/xl/worksheets/sheet10.xml" Id="R226e36a77a544718" /><Relationship Type="http://schemas.openxmlformats.org/officeDocument/2006/relationships/worksheet" Target="/xl/worksheets/sheet11.xml" Id="R1acf0415faed407e" /><Relationship Type="http://schemas.openxmlformats.org/officeDocument/2006/relationships/worksheet" Target="/xl/worksheets/sheet12.xml" Id="Rcd08d83c01af4cd3" /><Relationship Type="http://schemas.openxmlformats.org/officeDocument/2006/relationships/worksheet" Target="/xl/worksheets/sheet13.xml" Id="Rf58b1f9db49d44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3" name="MasterTable" displayName="MasterTable" ref="A1:AO62" headerRowCount="1" totalsRowCount="0" totalsRowShown="0">
  <x:tableColumns count="41">
    <x:tableColumn id="1" name="facility_id"/>
    <x:tableColumn id="2" name="facility_name"/>
    <x:tableColumn id="3" name="operator"/>
    <x:tableColumn id="4" name="operators"/>
    <x:tableColumn id="5" name="address"/>
    <x:tableColumn id="6" name="city"/>
    <x:tableColumn id="7" name="county"/>
    <x:tableColumn id="8" name="state"/>
    <x:tableColumn id="9" name="postal_code"/>
    <x:tableColumn id="10" name="latitude"/>
    <x:tableColumn id="11" name="longitude"/>
    <x:tableColumn id="12" name="location_precision"/>
    <x:tableColumn id="13" name="location_confidence"/>
    <x:tableColumn id="14" name="coordinate_source_record"/>
    <x:tableColumn id="15" name="coordinate_max_spread_km"/>
    <x:tableColumn id="16" name="coordinate_conflict_flag"/>
    <x:tableColumn id="17" name="status_normalized"/>
    <x:tableColumn id="18" name="status_values"/>
    <x:tableColumn id="19" name="status_conflict_flag"/>
    <x:tableColumn id="20" name="facility_type"/>
    <x:tableColumn id="21" name="facility_type_values"/>
    <x:tableColumn id="22" name="analysis_scope"/>
    <x:tableColumn id="23" name="capacity_mw"/>
    <x:tableColumn id="24" name="square_feet"/>
    <x:tableColumn id="25" name="property_acres"/>
    <x:tableColumn id="26" name="investment_usd"/>
    <x:tableColumn id="27" name="sources"/>
    <x:tableColumn id="28" name="source_count"/>
    <x:tableColumn id="29" name="record_count"/>
    <x:tableColumn id="30" name="source_record_ids"/>
    <x:tableColumn id="31" name="evidence_urls"/>
    <x:tableColumn id="32" name="last_updated"/>
    <x:tableColumn id="33" name="verification_class"/>
    <x:tableColumn id="34" name="operator_status"/>
    <x:tableColumn id="35" name="independent_evidence_domain_count"/>
    <x:tableColumn id="36" name="cross_verified"/>
    <x:tableColumn id="37" name="source_confidence_score"/>
    <x:tableColumn id="38" name="source_confidence_class"/>
    <x:tableColumn id="39" name="verification_note"/>
    <x:tableColumn id="40" name="schema_version"/>
    <x:tableColumn id="41" name="dataset_version"/>
  </x:tableColumns>
  <x:tableStyleInfo name="TableStyleMedium2" showFirstColumn="0" showLastColumn="0" showRowStripes="1" showColumnStripes="0"/>
</x:table>
</file>

<file path=xl/tables/table2.xml><?xml version="1.0" encoding="utf-8"?>
<x:table xmlns:x="http://schemas.openxmlformats.org/spreadsheetml/2006/main" id="11" name="RawAlignedTable" displayName="RawAlignedTable" ref="A1:AR217" headerRowCount="1" totalsRowCount="0" totalsRowShown="0">
  <x:autoFilter ref="A1:AR217"/>
  <x:tableColumns count="44">
    <x:tableColumn id="1" name="source"/>
    <x:tableColumn id="2" name="source_record_id"/>
    <x:tableColumn id="3" name="facility_name"/>
    <x:tableColumn id="4" name="aliases"/>
    <x:tableColumn id="5" name="operator"/>
    <x:tableColumn id="6" name="tenant"/>
    <x:tableColumn id="7" name="address"/>
    <x:tableColumn id="8" name="address2"/>
    <x:tableColumn id="9" name="city"/>
    <x:tableColumn id="10" name="county"/>
    <x:tableColumn id="11" name="state"/>
    <x:tableColumn id="12" name="postal_code"/>
    <x:tableColumn id="13" name="latitude"/>
    <x:tableColumn id="14" name="longitude"/>
    <x:tableColumn id="15" name="location_precision"/>
    <x:tableColumn id="16" name="location_confidence"/>
    <x:tableColumn id="17" name="location_determination"/>
    <x:tableColumn id="18" name="status_raw"/>
    <x:tableColumn id="19" name="status_normalized"/>
    <x:tableColumn id="20" name="facility_type"/>
    <x:tableColumn id="21" name="purpose"/>
    <x:tableColumn id="22" name="capacity_mw"/>
    <x:tableColumn id="23" name="capacity_mw_low"/>
    <x:tableColumn id="24" name="capacity_mw_high"/>
    <x:tableColumn id="25" name="square_feet"/>
    <x:tableColumn id="26" name="property_acres"/>
    <x:tableColumn id="27" name="number_buildings"/>
    <x:tableColumn id="28" name="number_generators"/>
    <x:tableColumn id="29" name="investment_usd"/>
    <x:tableColumn id="30" name="power_source"/>
    <x:tableColumn id="31" name="cooling_source"/>
    <x:tableColumn id="32" name="cooling_type"/>
    <x:tableColumn id="33" name="expected_online"/>
    <x:tableColumn id="34" name="created_date"/>
    <x:tableColumn id="35" name="updated_date"/>
    <x:tableColumn id="36" name="evidence_urls"/>
    <x:tableColumn id="37" name="source_dataset_url"/>
    <x:tableColumn id="38" name="source_record_url"/>
    <x:tableColumn id="39" name="notes"/>
    <x:tableColumn id="40" name="scope_category"/>
    <x:tableColumn id="41" name="included_in_master"/>
    <x:tableColumn id="42" name="operator_normalized"/>
    <x:tableColumn id="43" name="name_normalized"/>
    <x:tableColumn id="44" name="address_normalized"/>
  </x:tableColumns>
  <x:tableStyleInfo name="TableStyleMedium2" showFirstColumn="0" showLastColumn="0" showRowStripes="1" showColumnStripes="0"/>
</x:table>
</file>

<file path=xl/tables/table3.xml><?xml version="1.0" encoding="utf-8"?>
<x:table xmlns:x="http://schemas.openxmlformats.org/spreadsheetml/2006/main" id="3" name="MatchAuditTable" displayName="MatchAuditTable" ref="A1:P41" headerRowCount="1" totalsRowCount="0" totalsRowShown="0">
  <x:autoFilter ref="A1:P41"/>
  <x:tableColumns count="16">
    <x:tableColumn id="1" name="left_record"/>
    <x:tableColumn id="2" name="right_record"/>
    <x:tableColumn id="3" name="left_name"/>
    <x:tableColumn id="4" name="right_name"/>
    <x:tableColumn id="5" name="left_operator"/>
    <x:tableColumn id="6" name="right_operator"/>
    <x:tableColumn id="7" name="left_city"/>
    <x:tableColumn id="8" name="right_city"/>
    <x:tableColumn id="9" name="distance_km"/>
    <x:tableColumn id="10" name="name_similarity"/>
    <x:tableColumn id="11" name="operator_similarity"/>
    <x:tableColumn id="12" name="address_exact"/>
    <x:tableColumn id="13" name="match_score"/>
    <x:tableColumn id="14" name="evidence"/>
    <x:tableColumn id="15" name="decision"/>
    <x:tableColumn id="16" name="rationale"/>
  </x:tableColumns>
  <x:tableStyleInfo name="TableStyleMedium2" showFirstColumn="0" showLastColumn="0" showRowStripes="1" showColumnStripes="0"/>
</x:table>
</file>

<file path=xl/tables/table4.xml><?xml version="1.0" encoding="utf-8"?>
<x:table xmlns:x="http://schemas.openxmlformats.org/spreadsheetml/2006/main" id="4" name="ReviewPairsTable" displayName="ReviewPairsTable" ref="A1:P3" headerRowCount="1" totalsRowCount="0" totalsRowShown="0">
  <x:autoFilter ref="A1:P3"/>
  <x:tableColumns count="16">
    <x:tableColumn id="1" name="left_record"/>
    <x:tableColumn id="2" name="right_record"/>
    <x:tableColumn id="3" name="left_name"/>
    <x:tableColumn id="4" name="right_name"/>
    <x:tableColumn id="5" name="left_operator"/>
    <x:tableColumn id="6" name="right_operator"/>
    <x:tableColumn id="7" name="left_city"/>
    <x:tableColumn id="8" name="right_city"/>
    <x:tableColumn id="9" name="distance_km"/>
    <x:tableColumn id="10" name="name_similarity"/>
    <x:tableColumn id="11" name="operator_similarity"/>
    <x:tableColumn id="12" name="address_exact"/>
    <x:tableColumn id="13" name="match_score"/>
    <x:tableColumn id="14" name="evidence"/>
    <x:tableColumn id="15" name="decision"/>
    <x:tableColumn id="16" name="rationale"/>
  </x:tableColumns>
  <x:tableStyleInfo name="TableStyleMedium2" showFirstColumn="0" showLastColumn="0" showRowStripes="1" showColumnStripes="0"/>
</x:table>
</file>

<file path=xl/tables/table5.xml><?xml version="1.0" encoding="utf-8"?>
<x:table xmlns:x="http://schemas.openxmlformats.org/spreadsheetml/2006/main" id="5" name="ExcludedSupportTable" displayName="ExcludedSupportTable" ref="A1:AR3" headerRowCount="1" totalsRowCount="0" totalsRowShown="0">
  <x:autoFilter ref="A1:AR3"/>
  <x:tableColumns count="44">
    <x:tableColumn id="1" name="source"/>
    <x:tableColumn id="2" name="source_record_id"/>
    <x:tableColumn id="3" name="facility_name"/>
    <x:tableColumn id="4" name="aliases"/>
    <x:tableColumn id="5" name="operator"/>
    <x:tableColumn id="6" name="tenant"/>
    <x:tableColumn id="7" name="address"/>
    <x:tableColumn id="8" name="address2"/>
    <x:tableColumn id="9" name="city"/>
    <x:tableColumn id="10" name="county"/>
    <x:tableColumn id="11" name="state"/>
    <x:tableColumn id="12" name="postal_code"/>
    <x:tableColumn id="13" name="latitude"/>
    <x:tableColumn id="14" name="longitude"/>
    <x:tableColumn id="15" name="location_precision"/>
    <x:tableColumn id="16" name="location_confidence"/>
    <x:tableColumn id="17" name="location_determination"/>
    <x:tableColumn id="18" name="status_raw"/>
    <x:tableColumn id="19" name="status_normalized"/>
    <x:tableColumn id="20" name="facility_type"/>
    <x:tableColumn id="21" name="purpose"/>
    <x:tableColumn id="22" name="capacity_mw"/>
    <x:tableColumn id="23" name="capacity_mw_low"/>
    <x:tableColumn id="24" name="capacity_mw_high"/>
    <x:tableColumn id="25" name="square_feet"/>
    <x:tableColumn id="26" name="property_acres"/>
    <x:tableColumn id="27" name="number_buildings"/>
    <x:tableColumn id="28" name="number_generators"/>
    <x:tableColumn id="29" name="investment_usd"/>
    <x:tableColumn id="30" name="power_source"/>
    <x:tableColumn id="31" name="cooling_source"/>
    <x:tableColumn id="32" name="cooling_type"/>
    <x:tableColumn id="33" name="expected_online"/>
    <x:tableColumn id="34" name="created_date"/>
    <x:tableColumn id="35" name="updated_date"/>
    <x:tableColumn id="36" name="evidence_urls"/>
    <x:tableColumn id="37" name="source_dataset_url"/>
    <x:tableColumn id="38" name="source_record_url"/>
    <x:tableColumn id="39" name="notes"/>
    <x:tableColumn id="40" name="scope_category"/>
    <x:tableColumn id="41" name="included_in_master"/>
    <x:tableColumn id="42" name="operator_normalized"/>
    <x:tableColumn id="43" name="name_normalized"/>
    <x:tableColumn id="44" name="address_normalized"/>
  </x:tableColumns>
  <x:tableStyleInfo name="TableStyleMedium2" showFirstColumn="0" showLastColumn="0" showRowStripes="1" showColumnStripes="0"/>
</x:table>
</file>

<file path=xl/tables/table6.xml><?xml version="1.0" encoding="utf-8"?>
<x:table xmlns:x="http://schemas.openxmlformats.org/spreadsheetml/2006/main" id="6" name="FieldMapTable" displayName="FieldMapTable" ref="A1:E10" headerRowCount="1" totalsRowCount="0" totalsRowShown="0">
  <x:autoFilter ref="A1:E10"/>
  <x:tableColumns count="5">
    <x:tableColumn id="1" name="canonical_field"/>
    <x:tableColumn id="2" name="peeringdb"/>
    <x:tableColumn id="3" name="fractracker"/>
    <x:tableColumn id="4" name="compute_atlas"/>
    <x:tableColumn id="5" name="notes"/>
  </x:tableColumns>
  <x:tableStyleInfo name="TableStyleMedium2" showFirstColumn="0" showLastColumn="0" showRowStripes="1" showColumnStripes="0"/>
</x:table>
</file>

<file path=xl/tables/table7.xml><?xml version="1.0" encoding="utf-8"?>
<x:table xmlns:x="http://schemas.openxmlformats.org/spreadsheetml/2006/main" id="14" name="CandidateSitesTable" displayName="CandidateSitesTable" ref="A1:T17" headerRowCount="1" totalsRowCount="0" totalsRowShown="0">
  <x:tableColumns count="20">
    <x:tableColumn id="1" name="candidate_id"/>
    <x:tableColumn id="2" name="master_facility_id"/>
    <x:tableColumn id="3" name="candidate_site_name"/>
    <x:tableColumn id="4" name="candidate_type"/>
    <x:tableColumn id="5" name="candidate_confidence"/>
    <x:tableColumn id="6" name="address"/>
    <x:tableColumn id="7" name="city"/>
    <x:tableColumn id="8" name="county"/>
    <x:tableColumn id="9" name="state"/>
    <x:tableColumn id="10" name="postal_code"/>
    <x:tableColumn id="11" name="latitude"/>
    <x:tableColumn id="12" name="longitude"/>
    <x:tableColumn id="13" name="evidence_basis"/>
    <x:tableColumn id="14" name="source"/>
    <x:tableColumn id="15" name="evidence_urls"/>
    <x:tableColumn id="16" name="last_verified"/>
    <x:tableColumn id="17" name="review_note"/>
    <x:tableColumn id="18" name="location_precision"/>
    <x:tableColumn id="19" name="location_confidence"/>
    <x:tableColumn id="20" name="coordinate_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675d4dec05a456f" /></Relationships>
</file>

<file path=xl/worksheets/_rels/sheet4.xml.rels>&#65279;<?xml version="1.0" encoding="utf-8"?><Relationships xmlns="http://schemas.openxmlformats.org/package/2006/relationships"><Relationship Type="http://schemas.openxmlformats.org/officeDocument/2006/relationships/table" Target="/xl/tables/table2.xml" Id="R36dc408234cd43f8" /></Relationships>
</file>

<file path=xl/worksheets/_rels/sheet5.xml.rels>&#65279;<?xml version="1.0" encoding="utf-8"?><Relationships xmlns="http://schemas.openxmlformats.org/package/2006/relationships"><Relationship Type="http://schemas.openxmlformats.org/officeDocument/2006/relationships/table" Target="/xl/tables/table3.xml" Id="R3d0c57e6acce4c93" /></Relationships>
</file>

<file path=xl/worksheets/_rels/sheet6.xml.rels>&#65279;<?xml version="1.0" encoding="utf-8"?><Relationships xmlns="http://schemas.openxmlformats.org/package/2006/relationships"><Relationship Type="http://schemas.openxmlformats.org/officeDocument/2006/relationships/table" Target="/xl/tables/table4.xml" Id="R2d5fb96826674ecd" /></Relationships>
</file>

<file path=xl/worksheets/_rels/sheet7.xml.rels>&#65279;<?xml version="1.0" encoding="utf-8"?><Relationships xmlns="http://schemas.openxmlformats.org/package/2006/relationships"><Relationship Type="http://schemas.openxmlformats.org/officeDocument/2006/relationships/table" Target="/xl/tables/table5.xml" Id="Rfaa8b44e27e54611" /></Relationships>
</file>

<file path=xl/worksheets/_rels/sheet8.xml.rels>&#65279;<?xml version="1.0" encoding="utf-8"?><Relationships xmlns="http://schemas.openxmlformats.org/package/2006/relationships"><Relationship Type="http://schemas.openxmlformats.org/officeDocument/2006/relationships/table" Target="/xl/tables/table6.xml" Id="R86bb6349a0ac436e" /></Relationships>
</file>

<file path=xl/worksheets/_rels/sheet9.xml.rels>&#65279;<?xml version="1.0" encoding="utf-8"?><Relationships xmlns="http://schemas.openxmlformats.org/package/2006/relationships"><Relationship Type="http://schemas.openxmlformats.org/officeDocument/2006/relationships/table" Target="/xl/tables/table7.xml" Id="R44533988b8334e4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8" hidden="0" customWidth="1"/>
    <x:col min="3" max="3" width="58" hidden="0" customWidth="1"/>
  </x:cols>
  <x:sheetData>
    <x:row r="1">
      <x:c r="A1" s="70" t="str">
        <x:v>README — Scope, Sources, and Deduplication Protocol</x:v>
      </x:c>
      <x:c r="B1" s="70"/>
      <x:c r="C1" s="70"/>
      <x:c r="D1" s="70"/>
      <x:c r="E1" s="70"/>
      <x:c r="F1" s="70"/>
      <x:c r="G1" s="70"/>
      <x:c r="H1" s="70"/>
    </x:row>
    <x:row r="2">
      <x:c r="A2" s="70"/>
      <x:c r="B2" s="70"/>
      <x:c r="C2" s="70"/>
      <x:c r="D2" s="70"/>
      <x:c r="E2" s="70"/>
      <x:c r="F2" s="70"/>
      <x:c r="G2" s="70"/>
      <x:c r="H2" s="70"/>
    </x:row>
    <x:row r="4">
      <x:c r="A4" s="62" t="str">
        <x:v>Item</x:v>
      </x:c>
      <x:c r="B4" s="62" t="str">
        <x:v>Description</x:v>
      </x:c>
      <x:c r="C4" s="12"/>
    </x:row>
    <x:row r="5">
      <x:c r="A5" s="63" t="str">
        <x:v>Purpose</x:v>
      </x:c>
      <x:c r="B5" s="67" t="str">
        <x:v>Public Tennessee data-center facility dataset with detailed geography, operators, source provenance, and conservative entity resolution.</x:v>
      </x:c>
      <x:c r="C5" s="71"/>
    </x:row>
    <x:row r="6">
      <x:c r="A6" s="63" t="str">
        <x:v>Retrieval date</x:v>
      </x:c>
      <x:c r="B6" s="73" t="str">
        <x:v>2026-09-03</x:v>
      </x:c>
      <x:c r="C6" s="71"/>
    </x:row>
    <x:row r="7">
      <x:c r="A7" s="63" t="str">
        <x:v>Unit of analysis</x:v>
      </x:c>
      <x:c r="B7" s="67" t="str">
        <x:v>Master = one row per deduplicated physical facility/site. Ambiguous source identities stay in Raw_Aligned/Review_Pairs, and unresolved possible sites stay in Candidate_Sites.</x:v>
      </x:c>
      <x:c r="C7" s="71"/>
    </x:row>
    <x:row r="8">
      <x:c r="A8" s="63" t="str">
        <x:v>Raw records</x:v>
      </x:c>
      <x:c r="B8" s="67" t="str">
        <x:v>216 total Raw_Aligned rows after fifth-pass candidate-location research.</x:v>
      </x:c>
      <x:c r="C8" s="71"/>
    </x:row>
    <x:row r="9">
      <x:c r="A9" s="63" t="str">
        <x:v>Master records</x:v>
      </x:c>
      <x:c r="B9" s="67" t="str">
        <x:v>61 deduplicated Master rows: 50 core data-center/interconnection entities plus 11 crypto-mining entities. Sixteen candidates are tracked separately.</x:v>
      </x:c>
      <x:c r="C9" s="71"/>
    </x:row>
    <x:row r="10">
      <x:c r="A10" s="63" t="str">
        <x:v>Excluded records</x:v>
      </x:c>
      <x:c r="B10" s="67" t="str">
        <x:v>2 Compute Atlas power-generation/support records are retained in Excluded_Support and Raw_Aligned but not counted as data centers.</x:v>
      </x:c>
      <x:c r="C10" s="71"/>
    </x:row>
    <x:row r="11">
      <x:c r="A11" s="63" t="str">
        <x:v>Automatic matching</x:v>
      </x:c>
      <x:c r="B11" s="67" t="str">
        <x:v>Uses normalized address, name/operator similarity, city/county, and geodesic distance. Different known street addresses block automatic merging.</x:v>
      </x:c>
      <x:c r="C11" s="71"/>
    </x:row>
    <x:row r="12">
      <x:c r="A12" s="63" t="str">
        <x:v>Curated decisions</x:v>
      </x:c>
      <x:c r="B12" s="67" t="str">
        <x:v>Named same-project records were merged after source-row review; obvious separate facilities were explicitly kept separate. Every decision remains in Match_Audit.</x:v>
      </x:c>
      <x:c r="C12" s="71"/>
    </x:row>
    <x:row r="13">
      <x:c r="A13" s="63" t="str">
        <x:v>Unresolved</x:v>
      </x:c>
      <x:c r="B13" s="67" t="str">
        <x:v>Compute Atlas 'Colossus' could correspond to FracTracker Colossus 1 or 2. Both alternatives remain in Review_Pairs; no forced merge was made.</x:v>
      </x:c>
      <x:c r="C13" s="71"/>
    </x:row>
    <x:row r="14">
      <x:c r="A14" s="63" t="str">
        <x:v>Coordinate policy</x:v>
      </x:c>
      <x:c r="B14" s="67" t="str">
        <x:v>Coordinates are WGS84 decimal degrees. Representative coordinates favor FracTracker High confidence, then address/site or exact records. coordinate_max_spread_km retains source disagreement.</x:v>
      </x:c>
      <x:c r="C14" s="71"/>
    </x:row>
    <x:row r="15">
      <x:c r="A15" s="63" t="str">
        <x:v>Status policy</x:v>
      </x:c>
      <x:c r="B15" s="67" t="str">
        <x:v>Operational is selected when any active record exists; status_values and status_conflict_flag preserve disagreement.</x:v>
      </x:c>
      <x:c r="C15" s="71"/>
    </x:row>
    <x:row r="16">
      <x:c r="A16" s="12"/>
      <x:c r="B16" s="71"/>
      <x:c r="C16" s="71"/>
    </x:row>
    <x:row r="17">
      <x:c r="A17" s="62" t="str">
        <x:v>Source</x:v>
      </x:c>
      <x:c r="B17" s="72" t="str">
        <x:v>Dataset URL</x:v>
      </x:c>
      <x:c r="C17" s="72" t="str">
        <x:v>Role</x:v>
      </x:c>
    </x:row>
    <x:row r="18">
      <x:c r="A18" s="63" t="str">
        <x:v>PeeringDB</x:v>
      </x:c>
      <x:c r="B18" s="67" t="str">
        <x:v>https://www.peeringdb.com/api/fac?state=TN&amp;country=US</x:v>
      </x:c>
      <x:c r="C18" s="67" t="str">
        <x:v>Operational interconnection and colocation facilities</x:v>
      </x:c>
    </x:row>
    <x:row r="19">
      <x:c r="A19" s="63" t="str">
        <x:v>FracTracker</x:v>
      </x:c>
      <x:c r="B19" s="67" t="str">
        <x:v>https://services.arcgis.com/jDGuO8tYggdCCnUJ/arcgis/rest/services/data_centers_v4_agol_all/FeatureServer/0</x:v>
      </x:c>
      <x:c r="C19" s="67" t="str">
        <x:v>Detailed project geography, lifecycle, capacity, and confidence fields</x:v>
      </x:c>
    </x:row>
    <x:row r="20">
      <x:c r="A20" s="63" t="str">
        <x:v>Compute Atlas</x:v>
      </x:c>
      <x:c r="B20" s="67" t="str">
        <x:v>https://www.compute-atlas.com/api/facilities?state=TN</x:v>
      </x:c>
      <x:c r="C20" s="67" t="str">
        <x:v>Hyperscale, AI, crypto-mining, and supplemental project coverage</x:v>
      </x:c>
    </x:row>
    <x:row r="21" ht="42" customHeight="1">
      <x:c r="A21" s="67" t="str">
        <x:v>2026-09-03 research expansion</x:v>
      </x:c>
      <x:c r="B21" s="67" t="str">
        <x:v>2026-09-03 multisource supplementation: +1 Master, +1 Candidate, +9 Raw source records; schema_version 1.1 retained.</x:v>
      </x:c>
      <x:c r="C21" s="67" t="str">
        <x:v>Existing columns, permanent facility IDs, evidence URLs, and table roles preserved.</x:v>
      </x:c>
      <x:c r="D21" s="85"/>
    </x:row>
    <x:row r="22" ht="42" customHeight="1">
      <x:c r="A22" s="85" t="str">
        <x:v>Verification policy</x:v>
      </x:c>
      <x:c r="B22" s="85" t="str">
        <x:v>2026-09-07 review-queue resolution: Cielo remains in Master only for source traceability with analysis_scope=unconfirmed_candidate and is excluded from confirmed spatial training; the Atmosphere market pin was removed; linked and address discrepancies are documented in Review_Queue and model/data/metadata/review_queue_research_ledger.csv.</x:v>
      </x:c>
      <x:c r="C22" s="85" t="str">
        <x:v>Uncertain status, scope, or identity stays in Candidate_Sites</x:v>
      </x:c>
      <x:c r="D22" s="85"/>
    </x:row>
  </x:sheetData>
  <x:mergeCells>
    <x:mergeCell ref="A1: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14" hidden="0" customWidth="1"/>
    <x:col min="3" max="3" width="58" hidden="0" customWidth="1"/>
    <x:col min="4" max="4" width="3" hidden="0" customWidth="1"/>
    <x:col min="5" max="5" width="28" hidden="0" customWidth="1"/>
    <x:col min="6" max="6" width="16" hidden="0" customWidth="1"/>
    <x:col min="7" max="7" width="52" hidden="0" customWidth="1"/>
    <x:col min="8" max="8" width="22" hidden="0" customWidth="1"/>
  </x:cols>
  <x:sheetData>
    <x:row r="1">
      <x:c r="A1" s="130" t="str">
        <x:v>Tennessee Public Data Centers — Deduplicated Summary</x:v>
      </x:c>
      <x:c r="B1" s="130"/>
      <x:c r="C1" s="130"/>
      <x:c r="D1" s="130"/>
      <x:c r="E1" s="130"/>
      <x:c r="F1" s="130"/>
      <x:c r="G1" s="130"/>
      <x:c r="H1" s="130"/>
    </x:row>
    <x:row r="2">
      <x:c r="A2" s="130"/>
      <x:c r="B2" s="130"/>
      <x:c r="C2" s="130"/>
      <x:c r="D2" s="130"/>
      <x:c r="E2" s="130"/>
      <x:c r="F2" s="130"/>
      <x:c r="G2" s="130"/>
      <x:c r="H2" s="130"/>
    </x:row>
    <x:row r="3">
      <x:c r="A3" s="85"/>
      <x:c r="B3" s="85"/>
      <x:c r="C3" s="85"/>
      <x:c r="D3" s="85"/>
      <x:c r="E3" s="85"/>
      <x:c r="F3" s="85"/>
      <x:c r="G3" s="85"/>
      <x:c r="H3" s="85"/>
    </x:row>
    <x:row r="4">
      <x:c r="A4" s="72" t="str">
        <x:v>Metric</x:v>
      </x:c>
      <x:c r="B4" s="72" t="str">
        <x:v>Value</x:v>
      </x:c>
      <x:c r="C4" s="72" t="str">
        <x:v>Interpretation</x:v>
      </x:c>
      <x:c r="D4" s="71"/>
      <x:c r="E4" s="72" t="str">
        <x:v>Source</x:v>
      </x:c>
      <x:c r="F4" s="72" t="str">
        <x:v>Raw Records</x:v>
      </x:c>
      <x:c r="G4" s="72" t="str">
        <x:v>Coverage</x:v>
      </x:c>
      <x:c r="H4" s="71"/>
    </x:row>
    <x:row r="5">
      <x:c r="A5" s="67" t="str">
        <x:v>Raw source records</x:v>
      </x:c>
      <x:c r="B5" s="131" t="n">
        <x:f>COUNTA(Raw_Aligned!B2:B1000)</x:f>
        <x:v>216</x:v>
      </x:c>
      <x:c r="C5" s="67" t="str">
        <x:v>All source records, including appended public verification rows.</x:v>
      </x:c>
      <x:c r="D5" s="71"/>
      <x:c r="E5" s="67" t="str">
        <x:v>PeeringDB</x:v>
      </x:c>
      <x:c r="F5" s="131" t="n">
        <x:f>COUNTIF('Raw_Aligned'!$A$2:$A$62,"peeringdb")</x:f>
        <x:v>20</x:v>
      </x:c>
      <x:c r="G5" s="67" t="str">
        <x:v>Operational interconnection / colocation facilities</x:v>
      </x:c>
      <x:c r="H5" s="71"/>
    </x:row>
    <x:row r="6">
      <x:c r="A6" s="67" t="str">
        <x:v>Master entity rows after confirmed merges</x:v>
      </x:c>
      <x:c r="B6" s="131" t="n">
        <x:f>COUNTA(Master!A2:A1000)</x:f>
        <x:v>61</x:v>
      </x:c>
      <x:c r="C6" s="67" t="str">
        <x:v>61 deduplicated Master entities: 50 core data-center/interconnection rows plus 11 crypto-mining rows.</x:v>
      </x:c>
      <x:c r="D6" s="71"/>
      <x:c r="E6" s="67" t="str">
        <x:v>FracTracker</x:v>
      </x:c>
      <x:c r="F6" s="131" t="n">
        <x:f>COUNTIF('Raw_Aligned'!$A$2:$A$62,"fractracker")</x:f>
        <x:v>12</x:v>
      </x:c>
      <x:c r="G6" s="67" t="str">
        <x:v>Operating, proposed, construction, expansion projects</x:v>
      </x:c>
      <x:c r="H6" s="71"/>
    </x:row>
    <x:row r="7">
      <x:c r="A7" s="67" t="str">
        <x:v>Core DC / interconnection entity rows</x:v>
      </x:c>
      <x:c r="B7" s="131" t="n">
        <x:f>COUNTIF(Master!V2:V1000,"core_data_center")</x:f>
        <x:v>49</x:v>
      </x:c>
      <x:c r="C7" s="67" t="str">
        <x:v>50 core entities after adding the independently verified Bristol facility; building-level records within existing campuses remain deduplicated.</x:v>
      </x:c>
      <x:c r="D7" s="71"/>
      <x:c r="E7" s="67" t="str">
        <x:v>Compute Atlas</x:v>
      </x:c>
      <x:c r="F7" s="131" t="n">
        <x:f>COUNTIF('Raw_Aligned'!$A$2:$A$62,"compute_atlas")</x:f>
        <x:v>29</x:v>
      </x:c>
      <x:c r="G7" s="67" t="str">
        <x:v>Data centers, crypto mining, and support infrastructure</x:v>
      </x:c>
      <x:c r="H7" s="71"/>
    </x:row>
    <x:row r="8">
      <x:c r="A8" s="67" t="str">
        <x:v>Crypto-mining facilities</x:v>
      </x:c>
      <x:c r="B8" s="131" t="n">
        <x:f>COUNTIF(Master!V2:V1000,"crypto_mining")</x:f>
        <x:v>11</x:v>
      </x:c>
      <x:c r="C8" s="67" t="str">
        <x:v>Retained and explicitly typed; not silently mixed with core DCs.</x:v>
      </x:c>
      <x:c r="D8" s="71"/>
      <x:c r="E8" s="71"/>
      <x:c r="F8" s="71"/>
      <x:c r="G8" s="71"/>
      <x:c r="H8" s="71"/>
    </x:row>
    <x:row r="9">
      <x:c r="A9" s="67" t="str">
        <x:v>Excluded support-infrastructure records</x:v>
      </x:c>
      <x:c r="B9" s="131" t="n">
        <x:f>COUNTA(Excluded_Support!A2:A1000)</x:f>
        <x:v>2</x:v>
      </x:c>
      <x:c r="C9" s="67" t="str">
        <x:v>Power-generation records kept in audit/raw sheets, excluded from master.</x:v>
      </x:c>
      <x:c r="D9" s="71"/>
      <x:c r="E9" s="132" t="str">
        <x:v>Quality flags to review</x:v>
      </x:c>
      <x:c r="F9" s="132"/>
      <x:c r="G9" s="132"/>
      <x:c r="H9" s="132"/>
    </x:row>
    <x:row r="10">
      <x:c r="A10" s="67" t="str">
        <x:v>Unresolved candidate pairs</x:v>
      </x:c>
      <x:c r="B10" s="131" t="n">
        <x:f>COUNTA(Review_Pairs!A2:A1000)</x:f>
        <x:v>2</x:v>
      </x:c>
      <x:c r="C10" s="67" t="str">
        <x:v>Candidate identity is ambiguous and requires external evidence.</x:v>
      </x:c>
      <x:c r="D10" s="71"/>
      <x:c r="E10" s="68" t="str">
        <x:v>Flag</x:v>
      </x:c>
      <x:c r="F10" s="68" t="str">
        <x:v>Meaning</x:v>
      </x:c>
      <x:c r="G10" s="68" t="str">
        <x:v>Action</x:v>
      </x:c>
      <x:c r="H10" s="68" t="str">
        <x:v>Where</x:v>
      </x:c>
    </x:row>
    <x:row r="11">
      <x:c r="A11" s="67" t="str">
        <x:v>Master facilities with coordinate conflicts &gt;1 km</x:v>
      </x:c>
      <x:c r="B11" s="131" t="n">
        <x:f>COUNTIF('Master'!O2:O61,"&gt;1")</x:f>
        <x:v>4</x:v>
      </x:c>
      <x:c r="C11" s="67" t="str">
        <x:v>Same project identity, but source coordinates disagree by more than 1 km.</x:v>
      </x:c>
      <x:c r="D11" s="71"/>
      <x:c r="E11" s="67" t="str">
        <x:v>coordinate_conflict_flag</x:v>
      </x:c>
      <x:c r="F11" s="67" t="str">
        <x:v>Merged sources differ by &gt;1 km</x:v>
      </x:c>
      <x:c r="G11" s="67" t="str">
        <x:v>Use the selected coordinate source and inspect alternatives</x:v>
      </x:c>
      <x:c r="H11" s="67" t="str">
        <x:v>Master</x:v>
      </x:c>
    </x:row>
    <x:row r="12">
      <x:c r="A12" s="67" t="str">
        <x:v>Master facilities with conflicting status values</x:v>
      </x:c>
      <x:c r="B12" s="131" t="n">
        <x:f>COUNTIF('Master'!S2:S61,TRUE)</x:f>
        <x:v>0</x:v>
      </x:c>
      <x:c r="C12" s="67" t="str">
        <x:v>Sources disagree about lifecycle status; all source values are retained.</x:v>
      </x:c>
      <x:c r="D12" s="71"/>
      <x:c r="E12" s="67" t="str">
        <x:v>status_conflict_flag</x:v>
      </x:c>
      <x:c r="F12" s="67" t="str">
        <x:v>Merged sources report different statuses</x:v>
      </x:c>
      <x:c r="G12" s="67" t="str">
        <x:v>Review status_values and source rows</x:v>
      </x:c>
      <x:c r="H12" s="67" t="str">
        <x:v>Master</x:v>
      </x:c>
    </x:row>
    <x:row r="13">
      <x:c r="A13" s="67" t="str">
        <x:v>Master rows missing a published operator</x:v>
      </x:c>
      <x:c r="B13" s="131" t="n">
        <x:f>COUNTBLANK('Master'!C2:C61)</x:f>
        <x:v>1</x:v>
      </x:c>
      <x:c r="C13" s="67" t="str">
        <x:v>Missing operators have explicit operator_status; unknown values are not fabricated.</x:v>
      </x:c>
      <x:c r="D13" s="71"/>
      <x:c r="E13" s="67" t="str">
        <x:v>manual_review</x:v>
      </x:c>
      <x:c r="F13" s="67" t="str">
        <x:v>Entity identity remains ambiguous</x:v>
      </x:c>
      <x:c r="G13" s="67" t="str">
        <x:v>Do not collapse until external evidence resolves it</x:v>
      </x:c>
      <x:c r="H13" s="67" t="str">
        <x:v>Review_Pairs</x:v>
      </x:c>
    </x:row>
  </x:sheetData>
  <x:mergeCells>
    <x:mergeCell ref="A1:H2"/>
    <x:mergeCell ref="E9:H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45" hidden="0" customWidth="1"/>
    <x:col min="3" max="3" width="34" hidden="0" customWidth="1"/>
    <x:col min="4" max="4" width="34" hidden="0" customWidth="1"/>
    <x:col min="5" max="5" width="34" hidden="0" customWidth="1"/>
    <x:col min="6" max="6" width="17" hidden="0" customWidth="1"/>
    <x:col min="7" max="7" width="17" hidden="0" customWidth="1"/>
    <x:col min="8" max="8" width="17" hidden="0" customWidth="1"/>
    <x:col min="9" max="9" width="17" hidden="0" customWidth="1"/>
    <x:col min="10" max="10" width="15" hidden="0" customWidth="1"/>
    <x:col min="11" max="11" width="15" hidden="0" customWidth="1"/>
    <x:col min="12" max="12" width="17" hidden="0" customWidth="1"/>
    <x:col min="13" max="13" width="17" hidden="0" customWidth="1"/>
    <x:col min="14" max="14" width="44" hidden="0" customWidth="1"/>
    <x:col min="15" max="15" width="17" hidden="0" customWidth="1"/>
    <x:col min="16" max="16" width="18" hidden="0" customWidth="1"/>
    <x:col min="17" max="17" width="30" hidden="0" customWidth="1"/>
    <x:col min="18" max="18" width="17" hidden="0" customWidth="1"/>
    <x:col min="19" max="19" width="18"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44" hidden="0" customWidth="1"/>
    <x:col min="31" max="31" width="60" hidden="0" customWidth="1"/>
    <x:col min="32" max="32" width="22" hidden="0" customWidth="1"/>
    <x:col min="33" max="33" width="18" hidden="0" customWidth="1"/>
    <x:col min="34" max="34" width="28" hidden="0" customWidth="1"/>
    <x:col min="35" max="35" width="18" hidden="0" customWidth="1"/>
    <x:col min="36" max="36" width="14" hidden="0" customWidth="1"/>
    <x:col min="37" max="37" width="18" hidden="0" customWidth="1"/>
    <x:col min="38" max="38" width="18" hidden="0" customWidth="1"/>
    <x:col min="39" max="39" width="54" hidden="0" customWidth="1"/>
    <x:col min="40" max="40" width="14" hidden="0" customWidth="1"/>
    <x:col min="41" max="41" width="14" hidden="0" customWidth="1"/>
  </x:cols>
  <x:sheetData>
    <x:row r="1" ht="32" customHeight="1">
      <x:c r="A1" s="9" t="str">
        <x:v>facility_id</x:v>
      </x:c>
      <x:c r="B1" s="10" t="str">
        <x:v>facility_name</x:v>
      </x:c>
      <x:c r="C1" s="10" t="str">
        <x:v>operator</x:v>
      </x:c>
      <x:c r="D1" s="10" t="str">
        <x:v>operators</x:v>
      </x:c>
      <x:c r="E1" s="10" t="str">
        <x:v>address</x:v>
      </x:c>
      <x:c r="F1" s="10" t="str">
        <x:v>city</x:v>
      </x:c>
      <x:c r="G1" s="10" t="str">
        <x:v>county</x:v>
      </x:c>
      <x:c r="H1" s="10" t="str">
        <x:v>state</x:v>
      </x:c>
      <x:c r="I1" s="10" t="str">
        <x:v>postal_code</x:v>
      </x:c>
      <x:c r="J1" s="10" t="str">
        <x:v>latitude</x:v>
      </x:c>
      <x:c r="K1" s="10" t="str">
        <x:v>longitude</x:v>
      </x:c>
      <x:c r="L1" s="10" t="str">
        <x:v>location_precision</x:v>
      </x:c>
      <x:c r="M1" s="10" t="str">
        <x:v>location_confidence</x:v>
      </x:c>
      <x:c r="N1" s="10" t="str">
        <x:v>coordinate_source_record</x:v>
      </x:c>
      <x:c r="O1" s="10" t="str">
        <x:v>coordinate_max_spread_km</x:v>
      </x:c>
      <x:c r="P1" s="10" t="str">
        <x:v>coordinate_conflict_flag</x:v>
      </x:c>
      <x:c r="Q1" s="10" t="str">
        <x:v>status_normalized</x:v>
      </x:c>
      <x:c r="R1" s="10" t="str">
        <x:v>status_values</x:v>
      </x:c>
      <x:c r="S1" s="10" t="str">
        <x:v>status_conflict_flag</x:v>
      </x:c>
      <x:c r="T1" s="10" t="str">
        <x:v>facility_type</x:v>
      </x:c>
      <x:c r="U1" s="10" t="str">
        <x:v>facility_type_values</x:v>
      </x:c>
      <x:c r="V1" s="10" t="str">
        <x:v>analysis_scope</x:v>
      </x:c>
      <x:c r="W1" s="10" t="str">
        <x:v>capacity_mw</x:v>
      </x:c>
      <x:c r="X1" s="10" t="str">
        <x:v>square_feet</x:v>
      </x:c>
      <x:c r="Y1" s="10" t="str">
        <x:v>property_acres</x:v>
      </x:c>
      <x:c r="Z1" s="10" t="str">
        <x:v>investment_usd</x:v>
      </x:c>
      <x:c r="AA1" s="10" t="str">
        <x:v>sources</x:v>
      </x:c>
      <x:c r="AB1" s="10" t="str">
        <x:v>source_count</x:v>
      </x:c>
      <x:c r="AC1" s="10" t="str">
        <x:v>record_count</x:v>
      </x:c>
      <x:c r="AD1" s="10" t="str">
        <x:v>source_record_ids</x:v>
      </x:c>
      <x:c r="AE1" s="10" t="str">
        <x:v>evidence_urls</x:v>
      </x:c>
      <x:c r="AF1" s="11" t="str">
        <x:v>last_updated</x:v>
      </x:c>
      <x:c r="AG1" s="84" t="str">
        <x:v>verification_class</x:v>
      </x:c>
      <x:c r="AH1" s="84" t="str">
        <x:v>operator_status</x:v>
      </x:c>
      <x:c r="AI1" s="84" t="str">
        <x:v>independent_evidence_domain_count</x:v>
      </x:c>
      <x:c r="AJ1" s="84" t="str">
        <x:v>cross_verified</x:v>
      </x:c>
      <x:c r="AK1" s="84" t="str">
        <x:v>source_confidence_score</x:v>
      </x:c>
      <x:c r="AL1" s="84" t="str">
        <x:v>source_confidence_class</x:v>
      </x:c>
      <x:c r="AM1" s="84" t="str">
        <x:v>verification_note</x:v>
      </x:c>
      <x:c r="AN1" s="84" t="str">
        <x:v>schema_version</x:v>
      </x:c>
      <x:c r="AO1" s="84" t="str">
        <x:v>dataset_version</x:v>
      </x:c>
    </x:row>
    <x:row r="2" ht="30" hidden="0" customHeight="1">
      <x:c r="A2" s="13" t="str">
        <x:v>TNDC-001</x:v>
      </x:c>
      <x:c r="B2" s="22" t="str">
        <x:v>Flexential - Nashville/Brentwood (NAS01/04)</x:v>
      </x:c>
      <x:c r="C2" s="22" t="str">
        <x:v>Flexential</x:v>
      </x:c>
      <x:c r="D2" s="22" t="str">
        <x:v>Flexential | Flexential Corp.</x:v>
      </x:c>
      <x:c r="E2" s="22" t="str">
        <x:v>7100 Commerce Way, Suite 25,</x:v>
      </x:c>
      <x:c r="F2" s="14" t="str">
        <x:v>Brentwood</x:v>
      </x:c>
      <x:c r="G2" s="25" t="str">
        <x:v>Williamson</x:v>
      </x:c>
      <x:c r="H2" s="14" t="str">
        <x:v>TN</x:v>
      </x:c>
      <x:c r="I2" s="14" t="str">
        <x:v>37027</x:v>
      </x:c>
      <x:c r="J2" s="28" t="n">
        <x:v>35.972453</x:v>
      </x:c>
      <x:c r="K2" s="28" t="n">
        <x:v>-86.808748</x:v>
      </x:c>
      <x:c r="L2" s="14" t="str">
        <x:v>address_or_site</x:v>
      </x:c>
      <x:c r="M2" s="14" t="str">
        <x:v>high</x:v>
      </x:c>
      <x:c r="N2" s="22" t="str">
        <x:v>peeringdb:5003</x:v>
      </x:c>
      <x:c r="O2" s="87" t="n">
        <x:v>0.0383</x:v>
      </x:c>
      <x:c r="P2" s="74" t="b">
        <x:v>0</x:v>
      </x:c>
      <x:c r="Q2" s="14" t="str">
        <x:v>operational</x:v>
      </x:c>
      <x:c r="R2" s="14" t="str">
        <x:v>operational</x:v>
      </x:c>
      <x:c r="S2" s="74" t="b">
        <x:v>0</x:v>
      </x:c>
      <x:c r="T2" s="14" t="str">
        <x:v>data_center</x:v>
      </x:c>
      <x:c r="U2" s="14" t="str">
        <x:v>data_center | interconnection_facility</x:v>
      </x:c>
      <x:c r="V2" s="14" t="str">
        <x:v>core_data_center</x:v>
      </x:c>
      <x:c r="W2" s="90"/>
      <x:c r="X2" s="90"/>
      <x:c r="Y2" s="90"/>
      <x:c r="Z2" s="34"/>
      <x:c r="AA2" s="14" t="str">
        <x:v>compute_atlas | peeringdb</x:v>
      </x:c>
      <x:c r="AB2" s="93" t="n">
        <x:v>2</x:v>
      </x:c>
      <x:c r="AC2" s="93" t="n">
        <x:v>2</x:v>
      </x:c>
      <x:c r="AD2" s="22" t="str">
        <x:v>compute_atlas:flexential-nashville-brentwood-nas01-04-tn | peeringdb:5003</x:v>
      </x:c>
      <x:c r="AE2" s="22" t="str">
        <x:v>https://www.flexential.com/ | https://www.flexential.com/data-centers/tn/nashville/brentwood-data-center | https://www.openstreetmap.org/node/12112295055</x:v>
      </x:c>
      <x:c r="AF2" s="127" t="str">
        <x:v>2026-07-23</x:v>
      </x:c>
      <x:c r="AG2" s="85" t="str">
        <x:v>confirmed</x:v>
      </x:c>
      <x:c r="AH2" s="85" t="str">
        <x:v>identified</x:v>
      </x:c>
      <x:c r="AI2" s="96" t="n">
        <x:v>2</x:v>
      </x:c>
      <x:c r="AJ2" s="86" t="b">
        <x:v>1</x:v>
      </x:c>
      <x:c r="AK2" s="96" t="n">
        <x:v>91</x:v>
      </x:c>
      <x:c r="AL2" s="85" t="str">
        <x:v>high</x:v>
      </x:c>
      <x:c r="AM2" s="85" t="str">
        <x:v>Cross-verified facility record; unresolved values remain null rather than inferred.</x:v>
      </x:c>
      <x:c r="AN2" s="85" t="str">
        <x:v>1.1</x:v>
      </x:c>
      <x:c r="AO2" s="85" t="str">
        <x:v>2026-09-03-deduplicated</x:v>
      </x:c>
    </x:row>
    <x:row r="3" ht="30" hidden="0" customHeight="1">
      <x:c r="A3" s="16" t="str">
        <x:v>TNDC-002</x:v>
      </x:c>
      <x:c r="B3" s="23" t="str">
        <x:v>CleanSpark Campbell Junction Bitcoin Mining Facility</x:v>
      </x:c>
      <x:c r="C3" s="23" t="str">
        <x:v>CleanSpark, Inc.</x:v>
      </x:c>
      <x:c r="D3" s="23" t="str">
        <x:v>CleanSpark, Inc.</x:v>
      </x:c>
      <x:c r="E3" s="23" t="str">
        <x:v>5784 Plateau Rd</x:v>
      </x:c>
      <x:c r="F3" s="17" t="str">
        <x:v>Crossville</x:v>
      </x:c>
      <x:c r="G3" s="26" t="str">
        <x:v>Cumberland</x:v>
      </x:c>
      <x:c r="H3" s="17" t="str">
        <x:v>TN</x:v>
      </x:c>
      <x:c r="I3" s="17" t="str">
        <x:v>38571</x:v>
      </x:c>
      <x:c r="J3" s="29" t="n">
        <x:v>36.0436</x:v>
      </x:c>
      <x:c r="K3" s="29" t="n">
        <x:v>-85.1692</x:v>
      </x:c>
      <x:c r="L3" s="17" t="str">
        <x:v>approximate</x:v>
      </x:c>
      <x:c r="M3" s="17" t="str">
        <x:v>medium</x:v>
      </x:c>
      <x:c r="N3" s="23" t="str">
        <x:v>compute_atlas:cleanspark-campbell-junction-tn</x:v>
      </x:c>
      <x:c r="O3" s="88"/>
      <x:c r="P3" s="77" t="b">
        <x:v>0</x:v>
      </x:c>
      <x:c r="Q3" s="17" t="str">
        <x:v>operational</x:v>
      </x:c>
      <x:c r="R3" s="17" t="str">
        <x:v>operational</x:v>
      </x:c>
      <x:c r="S3" s="77" t="b">
        <x:v>0</x:v>
      </x:c>
      <x:c r="T3" s="17" t="str">
        <x:v>crypto_mining</x:v>
      </x:c>
      <x:c r="U3" s="17" t="str">
        <x:v>crypto_mining</x:v>
      </x:c>
      <x:c r="V3" s="17" t="str">
        <x:v>crypto_mining</x:v>
      </x:c>
      <x:c r="W3" s="91"/>
      <x:c r="X3" s="91"/>
      <x:c r="Y3" s="91"/>
      <x:c r="Z3" s="35"/>
      <x:c r="AA3" s="17" t="str">
        <x:v>compute_atlas | datacentermap.com</x:v>
      </x:c>
      <x:c r="AB3" s="94" t="n">
        <x:v>2</x:v>
      </x:c>
      <x:c r="AC3" s="94" t="n">
        <x:v>2</x:v>
      </x:c>
      <x:c r="AD3" s="23" t="str">
        <x:v>compute_atlas:cleanspark-campbell-junction-tn | verification:tndc-002-update:01</x:v>
      </x:c>
      <x:c r="AE3" s="23" t="str">
        <x:v>https://www.prnewswire.com/news-releases/cleanspark-to-add-5-ehs-and-increase-2024-guidance-with-acquisition-of-seven-additional-bitcoin-mining-facilities-in-tennessee-302244673.html | https://www.sec.gov/Archives/edgar/data/827876/000119312525297510/clsk-20250930.htm | https://www.datacentermap.com/usa/tennessee/crossville/ | https://www.sec.gov/Archives/edgar/data/827876/000095017024105354/clsk-ex10_4.htm</x:v>
      </x:c>
      <x:c r="AF3" s="128" t="str">
        <x:v>2026-09-07</x:v>
      </x:c>
      <x:c r="AG3" s="85" t="str">
        <x:v>confirmed</x:v>
      </x:c>
      <x:c r="AH3" s="85" t="str">
        <x:v>identified</x:v>
      </x:c>
      <x:c r="AI3" s="96" t="n">
        <x:v>3</x:v>
      </x:c>
      <x:c r="AJ3" s="86" t="b">
        <x:v>1</x:v>
      </x:c>
      <x:c r="AK3" s="96" t="n">
        <x:v>70</x:v>
      </x:c>
      <x:c r="AL3" s="85" t="str">
        <x:v>medium</x:v>
      </x:c>
      <x:c r="AM3" s="85" t="str">
        <x:v>CleanSpark SEC evidence maps Campbell Junction Property to 5784 Plateau Rd. The separate West Crossville property is 268 Sparta Hwy (TNDC-009); retain two facilities and do not merge.</x:v>
      </x:c>
      <x:c r="AN3" s="85" t="str">
        <x:v>1.1</x:v>
      </x:c>
      <x:c r="AO3" s="85" t="str">
        <x:v>2026-09-03-deduplicated</x:v>
      </x:c>
    </x:row>
    <x:row r="4" ht="30" hidden="0" customHeight="1">
      <x:c r="A4" s="16" t="str">
        <x:v>TNDC-003</x:v>
      </x:c>
      <x:c r="B4" s="23" t="str">
        <x:v>DC BLOX CHA1 - DCBLOX Chattanooga</x:v>
      </x:c>
      <x:c r="C4" s="23" t="str">
        <x:v>DC BLOX Parent LLC</x:v>
      </x:c>
      <x:c r="D4" s="23" t="str">
        <x:v>DC BLOX Parent LLC</x:v>
      </x:c>
      <x:c r="E4" s="23" t="str">
        <x:v>807 E 16th St</x:v>
      </x:c>
      <x:c r="F4" s="17" t="str">
        <x:v>Chattanooga</x:v>
      </x:c>
      <x:c r="G4" s="26" t="str">
        <x:v>Hamilton</x:v>
      </x:c>
      <x:c r="H4" s="17" t="str">
        <x:v>TN</x:v>
      </x:c>
      <x:c r="I4" s="17" t="str">
        <x:v>37408</x:v>
      </x:c>
      <x:c r="J4" s="29" t="n">
        <x:v>35.03158</x:v>
      </x:c>
      <x:c r="K4" s="29" t="n">
        <x:v>-85.2973</x:v>
      </x:c>
      <x:c r="L4" s="17" t="str">
        <x:v>address_or_site</x:v>
      </x:c>
      <x:c r="M4" s="17" t="str">
        <x:v>high</x:v>
      </x:c>
      <x:c r="N4" s="23" t="str">
        <x:v>fractracker:493</x:v>
      </x:c>
      <x:c r="O4" s="88" t="n">
        <x:v>0.0035</x:v>
      </x:c>
      <x:c r="P4" s="77" t="b">
        <x:v>0</x:v>
      </x:c>
      <x:c r="Q4" s="17" t="str">
        <x:v>operational</x:v>
      </x:c>
      <x:c r="R4" s="17" t="str">
        <x:v>operational</x:v>
      </x:c>
      <x:c r="S4" s="77" t="b">
        <x:v>0</x:v>
      </x:c>
      <x:c r="T4" s="17" t="str">
        <x:v>data_center</x:v>
      </x:c>
      <x:c r="U4" s="17" t="str">
        <x:v>data_center | interconnection_facility</x:v>
      </x:c>
      <x:c r="V4" s="17" t="str">
        <x:v>core_data_center</x:v>
      </x:c>
      <x:c r="W4" s="91"/>
      <x:c r="X4" s="91"/>
      <x:c r="Y4" s="91"/>
      <x:c r="Z4" s="35"/>
      <x:c r="AA4" s="17" t="str">
        <x:v>fractracker | peeringdb</x:v>
      </x:c>
      <x:c r="AB4" s="94" t="n">
        <x:v>2</x:v>
      </x:c>
      <x:c r="AC4" s="94" t="n">
        <x:v>2</x:v>
      </x:c>
      <x:c r="AD4" s="23" t="str">
        <x:v>fractracker:493 | peeringdb:7217</x:v>
      </x:c>
      <x:c r="AE4" s="23" t="str">
        <x:v>https://www.dcblox.com/data-centers/chattanooga/ | https://www.peeringdb.com/fac/7217</x:v>
      </x:c>
      <x:c r="AF4" s="128" t="str">
        <x:v>2026-09-03</x:v>
      </x:c>
      <x:c r="AG4" s="85" t="str">
        <x:v>confirmed</x:v>
      </x:c>
      <x:c r="AH4" s="85" t="str">
        <x:v>identified</x:v>
      </x:c>
      <x:c r="AI4" s="96" t="n">
        <x:v>2</x:v>
      </x:c>
      <x:c r="AJ4" s="86" t="b">
        <x:v>1</x:v>
      </x:c>
      <x:c r="AK4" s="96" t="n">
        <x:v>91</x:v>
      </x:c>
      <x:c r="AL4" s="85" t="str">
        <x:v>high</x:v>
      </x:c>
      <x:c r="AM4" s="85" t="str">
        <x:v>Cross-verified facility record; unresolved values remain null rather than inferred.</x:v>
      </x:c>
      <x:c r="AN4" s="85" t="str">
        <x:v>1.1</x:v>
      </x:c>
      <x:c r="AO4" s="85" t="str">
        <x:v>2026-09-03-deduplicated</x:v>
      </x:c>
    </x:row>
    <x:row r="5" ht="30" hidden="0" customHeight="1">
      <x:c r="A5" s="16" t="str">
        <x:v>TNDC-004</x:v>
      </x:c>
      <x:c r="B5" s="23" t="str">
        <x:v>Jailhouse Studios (former Hamilton County Jail)</x:v>
      </x:c>
      <x:c r="C5" s="23" t="str">
        <x:v>Urban Story Ventures</x:v>
      </x:c>
      <x:c r="D5" s="23" t="str">
        <x:v>Urban Story Ventures</x:v>
      </x:c>
      <x:c r="E5" s="23" t="str">
        <x:v>601 Walnut St</x:v>
      </x:c>
      <x:c r="F5" s="17" t="str">
        <x:v>Chattanooga</x:v>
      </x:c>
      <x:c r="G5" s="26" t="str">
        <x:v>Hamilton</x:v>
      </x:c>
      <x:c r="H5" s="17" t="str">
        <x:v>TN</x:v>
      </x:c>
      <x:c r="I5" s="17" t="str">
        <x:v>37402</x:v>
      </x:c>
      <x:c r="J5" s="29" t="n">
        <x:v>35.049557</x:v>
      </x:c>
      <x:c r="K5" s="29" t="n">
        <x:v>-85.30803</x:v>
      </x:c>
      <x:c r="L5" s="17" t="str">
        <x:v>address_or_site</x:v>
      </x:c>
      <x:c r="M5" s="17" t="str">
        <x:v>high</x:v>
      </x:c>
      <x:c r="N5" s="23" t="str">
        <x:v>fractracker:1768853682905-5418</x:v>
      </x:c>
      <x:c r="O5" s="88" t="n">
        <x:v>0.4469</x:v>
      </x:c>
      <x:c r="P5" s="77" t="b">
        <x:v>0</x:v>
      </x:c>
      <x:c r="Q5" s="17" t="str">
        <x:v>under_construction</x:v>
      </x:c>
      <x:c r="R5" s="17" t="str">
        <x:v>proposed | under_construction</x:v>
      </x:c>
      <x:c r="S5" s="77" t="b">
        <x:v>1</x:v>
      </x:c>
      <x:c r="T5" s="17" t="str">
        <x:v>data_center</x:v>
      </x:c>
      <x:c r="U5" s="17" t="str">
        <x:v>data_center</x:v>
      </x:c>
      <x:c r="V5" s="17" t="str">
        <x:v>core_data_center</x:v>
      </x:c>
      <x:c r="W5" s="91"/>
      <x:c r="X5" s="91"/>
      <x:c r="Y5" s="91"/>
      <x:c r="Z5" s="35"/>
      <x:c r="AA5" s="17" t="str">
        <x:v>compute_atlas | fractracker</x:v>
      </x:c>
      <x:c r="AB5" s="94" t="n">
        <x:v>2</x:v>
      </x:c>
      <x:c r="AC5" s="94" t="n">
        <x:v>2</x:v>
      </x:c>
      <x:c r="AD5" s="23" t="str">
        <x:v>compute_atlas:jailhouse-studios-chattanooga-tn | fractracker:1768853682905-5418</x:v>
      </x:c>
      <x:c r="AE5" s="23" t="str">
        <x:v>https://foxchattanooga.com/news/local/hamilton-county-advances-plan-to-convert-old-jail-into-ai-data-center-and-music-studio | https://www.chattanoogan.com/2026/3/18/516194/County-Commission-Approves-Lease-For.aspx | https://www.datacenterdynamics.com/en/news/former-jail-in-chattanooga-tennessee-targeted-for-production-space-and-data-center/ | https://newschannel9.com/news/local/residents-rally-against-proposed-ai-data-center-inside-old-hamilton-county-jail | https://urbanstoryventures.com/citys-new-jailhouse-studios-the-worlds-first-quantum-ready-sovereign-data-processing-and-ai-center-with-an-integrated-creator-campus/</x:v>
      </x:c>
      <x:c r="AF5" s="128" t="str">
        <x:v>2026-08-15</x:v>
      </x:c>
      <x:c r="AG5" s="85" t="str">
        <x:v>confirmed</x:v>
      </x:c>
      <x:c r="AH5" s="85" t="str">
        <x:v>identified</x:v>
      </x:c>
      <x:c r="AI5" s="96" t="n">
        <x:v>5</x:v>
      </x:c>
      <x:c r="AJ5" s="86" t="b">
        <x:v>1</x:v>
      </x:c>
      <x:c r="AK5" s="96" t="n">
        <x:v>90</x:v>
      </x:c>
      <x:c r="AL5" s="85" t="str">
        <x:v>high</x:v>
      </x:c>
      <x:c r="AM5" s="85" t="str">
        <x:v>Cross-verified facility record; unresolved values remain null rather than inferred.</x:v>
      </x:c>
      <x:c r="AN5" s="85" t="str">
        <x:v>1.1</x:v>
      </x:c>
      <x:c r="AO5" s="85" t="str">
        <x:v>2026-09-03-deduplicated</x:v>
      </x:c>
    </x:row>
    <x:row r="6" ht="30" hidden="0" customHeight="1">
      <x:c r="A6" s="16" t="str">
        <x:v>TNDC-005</x:v>
      </x:c>
      <x:c r="B6" s="23" t="str">
        <x:v>Peace Communications CHA1</x:v>
      </x:c>
      <x:c r="C6" s="23" t="str">
        <x:v>Scipio Technologies</x:v>
      </x:c>
      <x:c r="D6" s="23" t="str">
        <x:v>Peace Communications | Scipio Technologies</x:v>
      </x:c>
      <x:c r="E6" s="23" t="str">
        <x:v>1100 E 11th Street</x:v>
      </x:c>
      <x:c r="F6" s="17" t="str">
        <x:v>Chattanooga</x:v>
      </x:c>
      <x:c r="G6" s="26" t="str">
        <x:v>Hamilton</x:v>
      </x:c>
      <x:c r="H6" s="17" t="str">
        <x:v>TN</x:v>
      </x:c>
      <x:c r="I6" s="17" t="str">
        <x:v>37403</x:v>
      </x:c>
      <x:c r="J6" s="29" t="n">
        <x:v>35.03746</x:v>
      </x:c>
      <x:c r="K6" s="29" t="n">
        <x:v>-85.293181</x:v>
      </x:c>
      <x:c r="L6" s="17" t="str">
        <x:v>address_or_site</x:v>
      </x:c>
      <x:c r="M6" s="17" t="str">
        <x:v>high</x:v>
      </x:c>
      <x:c r="N6" s="23" t="str">
        <x:v>peeringdb:14177</x:v>
      </x:c>
      <x:c r="O6" s="88"/>
      <x:c r="P6" s="77" t="b">
        <x:v>0</x:v>
      </x:c>
      <x:c r="Q6" s="17" t="str">
        <x:v>operational</x:v>
      </x:c>
      <x:c r="R6" s="17" t="str">
        <x:v>operational</x:v>
      </x:c>
      <x:c r="S6" s="77" t="b">
        <x:v>0</x:v>
      </x:c>
      <x:c r="T6" s="17" t="str">
        <x:v>interconnection_facility</x:v>
      </x:c>
      <x:c r="U6" s="17" t="str">
        <x:v>interconnection_facility</x:v>
      </x:c>
      <x:c r="V6" s="17" t="str">
        <x:v>core_data_center</x:v>
      </x:c>
      <x:c r="W6" s="91"/>
      <x:c r="X6" s="91"/>
      <x:c r="Y6" s="91"/>
      <x:c r="Z6" s="35"/>
      <x:c r="AA6" s="17" t="str">
        <x:v>peeringdb | scipio_official</x:v>
      </x:c>
      <x:c r="AB6" s="94" t="n">
        <x:v>2</x:v>
      </x:c>
      <x:c r="AC6" s="94" t="n">
        <x:v>2</x:v>
      </x:c>
      <x:c r="AD6" s="23" t="str">
        <x:v>peeringdb:14177 | scipio:chattanooga</x:v>
      </x:c>
      <x:c r="AE6" s="23" t="str">
        <x:v>https://www.peacecom.net/pages/colocation | https://scipiotech.com/support/</x:v>
      </x:c>
      <x:c r="AF6" s="128" t="str">
        <x:v>2026-09-03</x:v>
      </x:c>
      <x:c r="AG6" s="85" t="str">
        <x:v>confirmed</x:v>
      </x:c>
      <x:c r="AH6" s="85" t="str">
        <x:v>identified</x:v>
      </x:c>
      <x:c r="AI6" s="96" t="n">
        <x:v>2</x:v>
      </x:c>
      <x:c r="AJ6" s="86" t="b">
        <x:v>1</x:v>
      </x:c>
      <x:c r="AK6" s="96" t="n">
        <x:v>91</x:v>
      </x:c>
      <x:c r="AL6" s="85" t="str">
        <x:v>high</x:v>
      </x:c>
      <x:c r="AM6" s="85" t="str">
        <x:v>Peace Communications rebranded as Scipio Technologies in 2024; current operator normalized while legacy names are preserved.</x:v>
      </x:c>
      <x:c r="AN6" s="85" t="str">
        <x:v>1.1</x:v>
      </x:c>
      <x:c r="AO6" s="85" t="str">
        <x:v>2026-09-03-deduplicated</x:v>
      </x:c>
    </x:row>
    <x:row r="7" ht="30" hidden="0" customHeight="1">
      <x:c r="A7" s="16" t="str">
        <x:v>TNDC-006</x:v>
      </x:c>
      <x:c r="B7" s="23" t="str">
        <x:v>Cielo Montgomery County AI Campus</x:v>
      </x:c>
      <x:c r="C7" s="23" t="str">
        <x:v>Cielo Digital Infrastructure</x:v>
      </x:c>
      <x:c r="D7" s="23" t="str">
        <x:v>Cielo Digital Infrastructure</x:v>
      </x:c>
      <x:c r="E7" s="23"/>
      <x:c r="F7" s="17" t="str">
        <x:v>Clarksville</x:v>
      </x:c>
      <x:c r="G7" s="26" t="str">
        <x:v>Montgomery</x:v>
      </x:c>
      <x:c r="H7" s="17" t="str">
        <x:v>TN</x:v>
      </x:c>
      <x:c r="I7" s="17"/>
      <x:c r="J7" s="29" t="n">
        <x:v>36.53</x:v>
      </x:c>
      <x:c r="K7" s="29" t="n">
        <x:v>-87.36</x:v>
      </x:c>
      <x:c r="L7" s="17" t="str">
        <x:v>area_or_city</x:v>
      </x:c>
      <x:c r="M7" s="17" t="str">
        <x:v>low</x:v>
      </x:c>
      <x:c r="N7" s="23" t="str">
        <x:v>compute_atlas:cielo-clarksville-tn</x:v>
      </x:c>
      <x:c r="O7" s="88" t="n">
        <x:v>5.003</x:v>
      </x:c>
      <x:c r="P7" s="77" t="b">
        <x:v>1</x:v>
      </x:c>
      <x:c r="Q7" s="17" t="str">
        <x:v>proposed</x:v>
      </x:c>
      <x:c r="R7" s="17" t="str">
        <x:v>proposed</x:v>
      </x:c>
      <x:c r="S7" s="77" t="b">
        <x:v>0</x:v>
      </x:c>
      <x:c r="T7" s="17" t="str">
        <x:v>data_center</x:v>
      </x:c>
      <x:c r="U7" s="17" t="str">
        <x:v>data_center</x:v>
      </x:c>
      <x:c r="V7" s="17" t="str">
        <x:v>unconfirmed_candidate</x:v>
      </x:c>
      <x:c r="W7" s="91" t="n">
        <x:v>350</x:v>
      </x:c>
      <x:c r="X7" s="91"/>
      <x:c r="Y7" s="91" t="n">
        <x:v>107</x:v>
      </x:c>
      <x:c r="Z7" s="35"/>
      <x:c r="AA7" s="17" t="str">
        <x:v>compute_atlas | fractracker | server_country | datacenterwatch | fractracker_arcgis | servercountry.org | datacenterwatch.ai | services1.arcgis.com | clarksvillenow</x:v>
      </x:c>
      <x:c r="AB7" s="94" t="n">
        <x:v>8</x:v>
      </x:c>
      <x:c r="AC7" s="94" t="n">
        <x:v>2</x:v>
      </x:c>
      <x:c r="AD7" s="23" t="str">
        <x:v>compute_atlas:cielo-clarksville-tn | fractracker:495</x:v>
      </x:c>
      <x:c r="AE7" s="23" t="str">
        <x:v>https://cieloinfra.com/ | https://cleanview.co/data-centers/tennessee/2037/cielo-clarksville-data-center | https://www.arcgis.com/home/item.html?id=597555ce8e4a4892a030784a7c657fdd | https://www.datacenterdynamics.com/en/news/cielo-digital-infrastructure-plans-300mw-data-center-campus-in-south-carolina/ | https://www.servercountry.org/policy/tennessee/ | https://datacenterwatch.ai/proposals/fractracker-tn-unknown-operator-cielo-digital-infrastructure-686 | https://services1.arcgis.com/4yjifSiIG17X0gW4/arcgis/rest/services/Data_Centers/FeatureServer/0/query?where=OBJECTID%3D5239&amp;outFields=*&amp;returnGeometry=true&amp;f=json | https://registry.deploy.report/datacenters/facilities/cielo-clarksville-data-center-tn | https://clarksvillenow.com/local/council-discusses-data-center-concerns-but-no-proposal-is-on-the-table/</x:v>
      </x:c>
      <x:c r="AF7" s="128" t="str">
        <x:v>2026-09-07</x:v>
      </x:c>
      <x:c r="AG7" s="85" t="str">
        <x:v>candidate</x:v>
      </x:c>
      <x:c r="AH7" s="85" t="str">
        <x:v>reported_sponsor_unverified</x:v>
      </x:c>
      <x:c r="AI7" s="96" t="n">
        <x:v>7</x:v>
      </x:c>
      <x:c r="AJ7" s="86" t="b">
        <x:v>1</x:v>
      </x:c>
      <x:c r="AK7" s="96" t="n">
        <x:v>55</x:v>
      </x:c>
      <x:c r="AL7" s="85" t="str">
        <x:v>low</x:v>
      </x:c>
      <x:c r="AM7" s="85" t="str">
        <x:v>Public market directories list a planned 350 MW Clarksville project, while June 2026 local reporting said the planning commission had no proposal under discussion. No primary local filing was identified. Retained for source traceability only as an unconfirmed candidate and excluded from confirmed-presence spatial training.</x:v>
      </x:c>
      <x:c r="AN7" s="85" t="str">
        <x:v>1.1</x:v>
      </x:c>
      <x:c r="AO7" s="85" t="str">
        <x:v>2026-09-03-deduplicated</x:v>
      </x:c>
    </x:row>
    <x:row r="8" ht="30" hidden="0" customHeight="1">
      <x:c r="A8" s="16" t="str">
        <x:v>TNDC-007</x:v>
      </x:c>
      <x:c r="B8" s="23" t="str">
        <x:v>Google Montgomery County Data Center</x:v>
      </x:c>
      <x:c r="C8" s="23" t="str">
        <x:v>Google</x:v>
      </x:c>
      <x:c r="D8" s="23" t="str">
        <x:v>Google</x:v>
      </x:c>
      <x:c r="E8" s="23" t="str">
        <x:v>1000 Boolean Dr</x:v>
      </x:c>
      <x:c r="F8" s="17" t="str">
        <x:v>Clarksville</x:v>
      </x:c>
      <x:c r="G8" s="26" t="str">
        <x:v>Montgomery</x:v>
      </x:c>
      <x:c r="H8" s="17" t="str">
        <x:v>TN</x:v>
      </x:c>
      <x:c r="I8" s="17" t="str">
        <x:v>37040</x:v>
      </x:c>
      <x:c r="J8" s="29" t="n">
        <x:v>36.62078</x:v>
      </x:c>
      <x:c r="K8" s="29" t="n">
        <x:v>-87.2622</x:v>
      </x:c>
      <x:c r="L8" s="17" t="str">
        <x:v>address_or_site</x:v>
      </x:c>
      <x:c r="M8" s="17" t="str">
        <x:v>high</x:v>
      </x:c>
      <x:c r="N8" s="23" t="str">
        <x:v>fractracker:494</x:v>
      </x:c>
      <x:c r="O8" s="88" t="n">
        <x:v>13.66</x:v>
      </x:c>
      <x:c r="P8" s="77" t="b">
        <x:v>1</x:v>
      </x:c>
      <x:c r="Q8" s="17" t="str">
        <x:v>operational</x:v>
      </x:c>
      <x:c r="R8" s="17" t="str">
        <x:v>operational</x:v>
      </x:c>
      <x:c r="S8" s="77" t="b">
        <x:v>0</x:v>
      </x:c>
      <x:c r="T8" s="17" t="str">
        <x:v>data_center</x:v>
      </x:c>
      <x:c r="U8" s="17" t="str">
        <x:v>data_center</x:v>
      </x:c>
      <x:c r="V8" s="17" t="str">
        <x:v>core_data_center</x:v>
      </x:c>
      <x:c r="W8" s="91"/>
      <x:c r="X8" s="91"/>
      <x:c r="Y8" s="91"/>
      <x:c r="Z8" s="35" t="n">
        <x:v>600000000</x:v>
      </x:c>
      <x:c r="AA8" s="17" t="str">
        <x:v>compute_atlas | fractracker</x:v>
      </x:c>
      <x:c r="AB8" s="94" t="n">
        <x:v>2</x:v>
      </x:c>
      <x:c r="AC8" s="94" t="n">
        <x:v>2</x:v>
      </x:c>
      <x:c r="AD8" s="23" t="str">
        <x:v>compute_atlas:google-montgomery-county-tn | fractracker:494</x:v>
      </x:c>
      <x:c r="AE8" s="23" t="str">
        <x:v>https://clarksvillenow.com/local/google-officially-opens-clarksville-montgomery-county-data-center/ | https://datacenters.google/locations/montgomery-county-tennessee/ | https://tnecd.com/news/governor-haslam-commissioner-boyd-announce-google-to-locate-new-data-center-in-clarksville/ | https://www.datacentermap.com/usa/tennessee/clarksville/google-montgomery-county/specs/</x:v>
      </x:c>
      <x:c r="AF8" s="128" t="str">
        <x:v>2026-09-04</x:v>
      </x:c>
      <x:c r="AG8" s="85" t="str">
        <x:v>confirmed</x:v>
      </x:c>
      <x:c r="AH8" s="85" t="str">
        <x:v>identified</x:v>
      </x:c>
      <x:c r="AI8" s="96" t="n">
        <x:v>3</x:v>
      </x:c>
      <x:c r="AJ8" s="86" t="b">
        <x:v>1</x:v>
      </x:c>
      <x:c r="AK8" s="96" t="n">
        <x:v>88</x:v>
      </x:c>
      <x:c r="AL8" s="85" t="str">
        <x:v>high</x:v>
      </x:c>
      <x:c r="AM8" s="85" t="str">
        <x:v>1000 Boolean Dr is independently confirmed as the Google Montgomery County data-center site.</x:v>
      </x:c>
      <x:c r="AN8" s="85" t="str">
        <x:v>1.1</x:v>
      </x:c>
      <x:c r="AO8" s="85" t="str">
        <x:v>2026-09-03-deduplicated</x:v>
      </x:c>
    </x:row>
    <x:row r="9" ht="30" hidden="0" customHeight="1">
      <x:c r="A9" s="16" t="str">
        <x:v>TNDC-008</x:v>
      </x:c>
      <x:c r="B9" s="23" t="str">
        <x:v>Collierville Enterprise Data Center (FedEx World Technology Center Campus)</x:v>
      </x:c>
      <x:c r="C9" s="23" t="str">
        <x:v>Aphorio Carter</x:v>
      </x:c>
      <x:c r="D9" s="23" t="str">
        <x:v>Aphorio Carter</x:v>
      </x:c>
      <x:c r="E9" s="23" t="str">
        <x:v>9 FedEx Pkwy</x:v>
      </x:c>
      <x:c r="F9" s="17" t="str">
        <x:v>Collierville</x:v>
      </x:c>
      <x:c r="G9" s="26" t="str">
        <x:v>Shelby</x:v>
      </x:c>
      <x:c r="H9" s="17" t="str">
        <x:v>TN</x:v>
      </x:c>
      <x:c r="I9" s="17" t="str">
        <x:v>38017</x:v>
      </x:c>
      <x:c r="J9" s="29" t="n">
        <x:v>35.04204</x:v>
      </x:c>
      <x:c r="K9" s="29" t="n">
        <x:v>-89.66453</x:v>
      </x:c>
      <x:c r="L9" s="17" t="str">
        <x:v>address_or_site</x:v>
      </x:c>
      <x:c r="M9" s="17" t="str">
        <x:v>high</x:v>
      </x:c>
      <x:c r="N9" s="23" t="str">
        <x:v>compute_atlas:aphorio-carter-collierville-tn</x:v>
      </x:c>
      <x:c r="O9" s="88"/>
      <x:c r="P9" s="77" t="b">
        <x:v>0</x:v>
      </x:c>
      <x:c r="Q9" s="17" t="str">
        <x:v>operational</x:v>
      </x:c>
      <x:c r="R9" s="17" t="str">
        <x:v>operational</x:v>
      </x:c>
      <x:c r="S9" s="77" t="b">
        <x:v>0</x:v>
      </x:c>
      <x:c r="T9" s="17" t="str">
        <x:v>data_center</x:v>
      </x:c>
      <x:c r="U9" s="17" t="str">
        <x:v>data_center</x:v>
      </x:c>
      <x:c r="V9" s="17" t="str">
        <x:v>core_data_center</x:v>
      </x:c>
      <x:c r="W9" s="91"/>
      <x:c r="X9" s="91"/>
      <x:c r="Y9" s="91" t="n">
        <x:v>4.62</x:v>
      </x:c>
      <x:c r="Z9" s="35" t="n">
        <x:v>13000000</x:v>
      </x:c>
      <x:c r="AA9" s="17" t="str">
        <x:v>compute_atlas | colomap</x:v>
      </x:c>
      <x:c r="AB9" s="94" t="n">
        <x:v>2</x:v>
      </x:c>
      <x:c r="AC9" s="94" t="n">
        <x:v>2</x:v>
      </x:c>
      <x:c r="AD9" s="23" t="str">
        <x:v>compute_atlas:aphorio-carter-collierville-tn | colomap:collierville-enterprise</x:v>
      </x:c>
      <x:c r="AE9" s="23" t="str">
        <x:v>https://baxtel.com/data-center/memphis | https://www.prnewswire.com/news-releases/aphorio-carter-acquires-data-center-in-collierville-tn-301983903.html | https://colomap.com/facilities/collierville-enterprise-data-center/</x:v>
      </x:c>
      <x:c r="AF9" s="128" t="str">
        <x:v>2026-09-03</x:v>
      </x:c>
      <x:c r="AG9" s="85" t="str">
        <x:v>confirmed</x:v>
      </x:c>
      <x:c r="AH9" s="85" t="str">
        <x:v>identified</x:v>
      </x:c>
      <x:c r="AI9" s="96" t="n">
        <x:v>3</x:v>
      </x:c>
      <x:c r="AJ9" s="86" t="b">
        <x:v>1</x:v>
      </x:c>
      <x:c r="AK9" s="96" t="n">
        <x:v>98</x:v>
      </x:c>
      <x:c r="AL9" s="85" t="str">
        <x:v>high</x:v>
      </x:c>
      <x:c r="AM9" s="85" t="str">
        <x:v>Cross-verified facility record; unresolved values remain null rather than inferred.</x:v>
      </x:c>
      <x:c r="AN9" s="85" t="str">
        <x:v>1.1</x:v>
      </x:c>
      <x:c r="AO9" s="85" t="str">
        <x:v>2026-09-03-deduplicated</x:v>
      </x:c>
    </x:row>
    <x:row r="10" ht="30" hidden="0" customHeight="1">
      <x:c r="A10" s="16" t="str">
        <x:v>TNDC-009</x:v>
      </x:c>
      <x:c r="B10" s="23" t="str">
        <x:v>CleanSpark West Crossville Bitcoin Mining Facility</x:v>
      </x:c>
      <x:c r="C10" s="23" t="str">
        <x:v>CleanSpark, Inc.</x:v>
      </x:c>
      <x:c r="D10" s="23" t="str">
        <x:v>CleanSpark, Inc.</x:v>
      </x:c>
      <x:c r="E10" s="23" t="str">
        <x:v>268 Sparta Hwy</x:v>
      </x:c>
      <x:c r="F10" s="17" t="str">
        <x:v>Crossville</x:v>
      </x:c>
      <x:c r="G10" s="26" t="str">
        <x:v>Cumberland</x:v>
      </x:c>
      <x:c r="H10" s="17" t="str">
        <x:v>TN</x:v>
      </x:c>
      <x:c r="I10" s="17" t="str">
        <x:v>38572</x:v>
      </x:c>
      <x:c r="J10" s="29" t="n">
        <x:v>35.9487</x:v>
      </x:c>
      <x:c r="K10" s="29" t="n">
        <x:v>-85.0269</x:v>
      </x:c>
      <x:c r="L10" s="17" t="str">
        <x:v>approximate</x:v>
      </x:c>
      <x:c r="M10" s="17" t="str">
        <x:v>medium</x:v>
      </x:c>
      <x:c r="N10" s="23" t="str">
        <x:v>compute_atlas:cleanspark-west-crossville-tn</x:v>
      </x:c>
      <x:c r="O10" s="88"/>
      <x:c r="P10" s="77" t="b">
        <x:v>0</x:v>
      </x:c>
      <x:c r="Q10" s="17" t="str">
        <x:v>operational</x:v>
      </x:c>
      <x:c r="R10" s="17" t="str">
        <x:v>operational</x:v>
      </x:c>
      <x:c r="S10" s="77" t="b">
        <x:v>0</x:v>
      </x:c>
      <x:c r="T10" s="17" t="str">
        <x:v>crypto_mining</x:v>
      </x:c>
      <x:c r="U10" s="17" t="str">
        <x:v>crypto_mining</x:v>
      </x:c>
      <x:c r="V10" s="17" t="str">
        <x:v>crypto_mining</x:v>
      </x:c>
      <x:c r="W10" s="91"/>
      <x:c r="X10" s="91"/>
      <x:c r="Y10" s="91"/>
      <x:c r="Z10" s="35"/>
      <x:c r="AA10" s="17" t="str">
        <x:v>compute_atlas | datacentermap.com</x:v>
      </x:c>
      <x:c r="AB10" s="94" t="n">
        <x:v>2</x:v>
      </x:c>
      <x:c r="AC10" s="94" t="n">
        <x:v>2</x:v>
      </x:c>
      <x:c r="AD10" s="23" t="str">
        <x:v>compute_atlas:cleanspark-west-crossville-tn | verification:tndc-009-update:01</x:v>
      </x:c>
      <x:c r="AE10" s="23" t="str">
        <x:v>https://www.prnewswire.com/news-releases/cleanspark-to-add-5-ehs-and-increase-2024-guidance-with-acquisition-of-seven-additional-bitcoin-mining-facilities-in-tennessee-302244673.html | https://www.sec.gov/Archives/edgar/data/827876/000119312525297510/clsk-20250930.htm | https://www.datacentermap.com/usa/tennessee/crossville/ | https://www.sec.gov/Archives/edgar/data/827876/000095017024105354/clsk-ex10_4.htm</x:v>
      </x:c>
      <x:c r="AF10" s="128" t="str">
        <x:v>2026-09-07</x:v>
      </x:c>
      <x:c r="AG10" s="85" t="str">
        <x:v>confirmed</x:v>
      </x:c>
      <x:c r="AH10" s="85" t="str">
        <x:v>identified</x:v>
      </x:c>
      <x:c r="AI10" s="96" t="n">
        <x:v>3</x:v>
      </x:c>
      <x:c r="AJ10" s="86" t="b">
        <x:v>1</x:v>
      </x:c>
      <x:c r="AK10" s="96" t="n">
        <x:v>70</x:v>
      </x:c>
      <x:c r="AL10" s="85" t="str">
        <x:v>medium</x:v>
      </x:c>
      <x:c r="AM10" s="85" t="str">
        <x:v>CleanSpark SEC evidence maps West Crossville Property to 268 Sparta Hwy. The separate Campbell Junction property is 5784 Plateau Rd (TNDC-002); retain two facilities and do not merge.</x:v>
      </x:c>
      <x:c r="AN10" s="85" t="str">
        <x:v>1.1</x:v>
      </x:c>
      <x:c r="AO10" s="85" t="str">
        <x:v>2026-09-03-deduplicated</x:v>
      </x:c>
    </x:row>
    <x:row r="11" ht="30" hidden="0" customHeight="1">
      <x:c r="A11" s="16" t="str">
        <x:v>TNDC-010</x:v>
      </x:c>
      <x:c r="B11" s="23" t="str">
        <x:v>CleanSpark Decatur Bitcoin Mining Facility</x:v>
      </x:c>
      <x:c r="C11" s="23" t="str">
        <x:v>CleanSpark, Inc.</x:v>
      </x:c>
      <x:c r="D11" s="23" t="str">
        <x:v>CleanSpark, Inc.</x:v>
      </x:c>
      <x:c r="E11" s="23"/>
      <x:c r="F11" s="17" t="str">
        <x:v>Decatur</x:v>
      </x:c>
      <x:c r="G11" s="26" t="str">
        <x:v>Meigs</x:v>
      </x:c>
      <x:c r="H11" s="17" t="str">
        <x:v>TN</x:v>
      </x:c>
      <x:c r="I11" s="17"/>
      <x:c r="J11" s="29" t="n">
        <x:v>35.5148</x:v>
      </x:c>
      <x:c r="K11" s="29" t="n">
        <x:v>-84.7902</x:v>
      </x:c>
      <x:c r="L11" s="17" t="str">
        <x:v>approximate</x:v>
      </x:c>
      <x:c r="M11" s="17" t="str">
        <x:v>medium</x:v>
      </x:c>
      <x:c r="N11" s="23" t="str">
        <x:v>compute_atlas:cleanspark-decatur-tn</x:v>
      </x:c>
      <x:c r="O11" s="88"/>
      <x:c r="P11" s="77" t="b">
        <x:v>0</x:v>
      </x:c>
      <x:c r="Q11" s="17" t="str">
        <x:v>operational</x:v>
      </x:c>
      <x:c r="R11" s="17" t="str">
        <x:v>operational</x:v>
      </x:c>
      <x:c r="S11" s="77" t="b">
        <x:v>0</x:v>
      </x:c>
      <x:c r="T11" s="17" t="str">
        <x:v>crypto_mining</x:v>
      </x:c>
      <x:c r="U11" s="17" t="str">
        <x:v>crypto_mining</x:v>
      </x:c>
      <x:c r="V11" s="17" t="str">
        <x:v>crypto_mining</x:v>
      </x:c>
      <x:c r="W11" s="91"/>
      <x:c r="X11" s="91"/>
      <x:c r="Y11" s="91"/>
      <x:c r="Z11" s="35"/>
      <x:c r="AA11" s="17" t="str">
        <x:v>compute_atlas</x:v>
      </x:c>
      <x:c r="AB11" s="94" t="n">
        <x:v>1</x:v>
      </x:c>
      <x:c r="AC11" s="94" t="n">
        <x:v>1</x:v>
      </x:c>
      <x:c r="AD11" s="23" t="str">
        <x:v>compute_atlas:cleanspark-decatur-tn</x:v>
      </x:c>
      <x:c r="AE11" s="23" t="str">
        <x:v>https://www.prnewswire.com/news-releases/cleanspark-to-add-5-ehs-and-increase-2024-guidance-with-acquisition-of-seven-additional-bitcoin-mining-facilities-in-tennessee-302244673.html | https://www.sec.gov/Archives/edgar/data/827876/000119312525297510/clsk-20250930.htm</x:v>
      </x:c>
      <x:c r="AF11" s="128" t="str">
        <x:v>2026-08-05</x:v>
      </x:c>
      <x:c r="AG11" s="85" t="str">
        <x:v>confirmed</x:v>
      </x:c>
      <x:c r="AH11" s="85" t="str">
        <x:v>identified</x:v>
      </x:c>
      <x:c r="AI11" s="96" t="n">
        <x:v>2</x:v>
      </x:c>
      <x:c r="AJ11" s="86" t="b">
        <x:v>1</x:v>
      </x:c>
      <x:c r="AK11" s="96" t="n">
        <x:v>70</x:v>
      </x:c>
      <x:c r="AL11" s="85" t="str">
        <x:v>medium</x:v>
      </x:c>
      <x:c r="AM11" s="85" t="str">
        <x:v>Cross-verified facility record; unresolved values remain null rather than inferred.</x:v>
      </x:c>
      <x:c r="AN11" s="85" t="str">
        <x:v>1.1</x:v>
      </x:c>
      <x:c r="AO11" s="85" t="str">
        <x:v>2026-09-03-deduplicated</x:v>
      </x:c>
    </x:row>
    <x:row r="12" ht="30" hidden="0" customHeight="1">
      <x:c r="A12" s="16" t="str">
        <x:v>TNDC-011</x:v>
      </x:c>
      <x:c r="B12" s="23" t="str">
        <x:v>Flexential - Nashville/Cool Springs (NAS02/03)</x:v>
      </x:c>
      <x:c r="C12" s="23" t="str">
        <x:v>Flexential</x:v>
      </x:c>
      <x:c r="D12" s="23" t="str">
        <x:v>Flexential | Flexential Corp.</x:v>
      </x:c>
      <x:c r="E12" s="23" t="str">
        <x:v>425 Duke Drive, Suite 400</x:v>
      </x:c>
      <x:c r="F12" s="17" t="str">
        <x:v>Franklin</x:v>
      </x:c>
      <x:c r="G12" s="26" t="str">
        <x:v>Williamson</x:v>
      </x:c>
      <x:c r="H12" s="17" t="str">
        <x:v>TN</x:v>
      </x:c>
      <x:c r="I12" s="17" t="str">
        <x:v>37067</x:v>
      </x:c>
      <x:c r="J12" s="29" t="n">
        <x:v>35.951091</x:v>
      </x:c>
      <x:c r="K12" s="29" t="n">
        <x:v>-86.833251</x:v>
      </x:c>
      <x:c r="L12" s="17" t="str">
        <x:v>address_or_site</x:v>
      </x:c>
      <x:c r="M12" s="17" t="str">
        <x:v>high</x:v>
      </x:c>
      <x:c r="N12" s="23" t="str">
        <x:v>peeringdb:5004</x:v>
      </x:c>
      <x:c r="O12" s="88" t="n">
        <x:v>0.0149</x:v>
      </x:c>
      <x:c r="P12" s="77" t="b">
        <x:v>0</x:v>
      </x:c>
      <x:c r="Q12" s="17" t="str">
        <x:v>operational</x:v>
      </x:c>
      <x:c r="R12" s="17" t="str">
        <x:v>operational</x:v>
      </x:c>
      <x:c r="S12" s="77" t="b">
        <x:v>0</x:v>
      </x:c>
      <x:c r="T12" s="17" t="str">
        <x:v>data_center</x:v>
      </x:c>
      <x:c r="U12" s="17" t="str">
        <x:v>data_center | interconnection_facility</x:v>
      </x:c>
      <x:c r="V12" s="17" t="str">
        <x:v>core_data_center</x:v>
      </x:c>
      <x:c r="W12" s="91"/>
      <x:c r="X12" s="91"/>
      <x:c r="Y12" s="91"/>
      <x:c r="Z12" s="35"/>
      <x:c r="AA12" s="17" t="str">
        <x:v>compute_atlas | peeringdb</x:v>
      </x:c>
      <x:c r="AB12" s="94" t="n">
        <x:v>2</x:v>
      </x:c>
      <x:c r="AC12" s="94" t="n">
        <x:v>2</x:v>
      </x:c>
      <x:c r="AD12" s="23" t="str">
        <x:v>compute_atlas:flexential-nashville-cool-springs-tn | peeringdb:5004</x:v>
      </x:c>
      <x:c r="AE12" s="23" t="str">
        <x:v>https://www.arcgis.com/home/item.html?id=597555ce8e4a4892a030784a7c657fdd | https://www.flexential.com/data-centers/tn/nashville/cool-springs-data-center | https://www.openstreetmap.org/way/1210515186 | https://www.flexential.com/</x:v>
      </x:c>
      <x:c r="AF12" s="128" t="str">
        <x:v>2026-07-23</x:v>
      </x:c>
      <x:c r="AG12" s="85" t="str">
        <x:v>confirmed</x:v>
      </x:c>
      <x:c r="AH12" s="85" t="str">
        <x:v>identified</x:v>
      </x:c>
      <x:c r="AI12" s="96" t="n">
        <x:v>3</x:v>
      </x:c>
      <x:c r="AJ12" s="86" t="b">
        <x:v>1</x:v>
      </x:c>
      <x:c r="AK12" s="96" t="n">
        <x:v>98</x:v>
      </x:c>
      <x:c r="AL12" s="85" t="str">
        <x:v>high</x:v>
      </x:c>
      <x:c r="AM12" s="85" t="str">
        <x:v>Cross-verified facility record; unresolved values remain null rather than inferred.</x:v>
      </x:c>
      <x:c r="AN12" s="85" t="str">
        <x:v>1.1</x:v>
      </x:c>
      <x:c r="AO12" s="85" t="str">
        <x:v>2026-09-03-deduplicated</x:v>
      </x:c>
    </x:row>
    <x:row r="13" ht="30" hidden="0" customHeight="1">
      <x:c r="A13" s="16" t="str">
        <x:v>TNDC-012</x:v>
      </x:c>
      <x:c r="B13" s="23" t="str">
        <x:v>Flexential - Nashville/Franklin (NAS05/06)</x:v>
      </x:c>
      <x:c r="C13" s="23" t="str">
        <x:v>Flexential</x:v>
      </x:c>
      <x:c r="D13" s="23" t="str">
        <x:v>Flexential | Flexential Corp.</x:v>
      </x:c>
      <x:c r="E13" s="23" t="str">
        <x:v>4600 Carothers Parkway</x:v>
      </x:c>
      <x:c r="F13" s="17" t="str">
        <x:v>Franklin</x:v>
      </x:c>
      <x:c r="G13" s="26" t="str">
        <x:v>Williamson</x:v>
      </x:c>
      <x:c r="H13" s="17" t="str">
        <x:v>TN</x:v>
      </x:c>
      <x:c r="I13" s="17" t="str">
        <x:v>37067</x:v>
      </x:c>
      <x:c r="J13" s="29" t="n">
        <x:v>35.92028</x:v>
      </x:c>
      <x:c r="K13" s="29" t="n">
        <x:v>-86.815618</x:v>
      </x:c>
      <x:c r="L13" s="17" t="str">
        <x:v>address_or_site</x:v>
      </x:c>
      <x:c r="M13" s="17" t="str">
        <x:v>high</x:v>
      </x:c>
      <x:c r="N13" s="23" t="str">
        <x:v>peeringdb:5005</x:v>
      </x:c>
      <x:c r="O13" s="88" t="n">
        <x:v>0.0171</x:v>
      </x:c>
      <x:c r="P13" s="77" t="b">
        <x:v>0</x:v>
      </x:c>
      <x:c r="Q13" s="17" t="str">
        <x:v>operational</x:v>
      </x:c>
      <x:c r="R13" s="17" t="str">
        <x:v>operational</x:v>
      </x:c>
      <x:c r="S13" s="77" t="b">
        <x:v>0</x:v>
      </x:c>
      <x:c r="T13" s="17" t="str">
        <x:v>data_center</x:v>
      </x:c>
      <x:c r="U13" s="17" t="str">
        <x:v>data_center | interconnection_facility</x:v>
      </x:c>
      <x:c r="V13" s="17" t="str">
        <x:v>core_data_center</x:v>
      </x:c>
      <x:c r="W13" s="91"/>
      <x:c r="X13" s="91"/>
      <x:c r="Y13" s="91"/>
      <x:c r="Z13" s="35"/>
      <x:c r="AA13" s="17" t="str">
        <x:v>compute_atlas | peeringdb</x:v>
      </x:c>
      <x:c r="AB13" s="94" t="n">
        <x:v>2</x:v>
      </x:c>
      <x:c r="AC13" s="94" t="n">
        <x:v>2</x:v>
      </x:c>
      <x:c r="AD13" s="23" t="str">
        <x:v>compute_atlas:flexential-nashville-franklin-tn | peeringdb:5005</x:v>
      </x:c>
      <x:c r="AE13" s="23" t="str">
        <x:v>https://www.arcgis.com/home/item.html?id=597555ce8e4a4892a030784a7c657fdd | https://www.flexential.com/data-centers/tn/nashville/franklin-data-center | https://www.openstreetmap.org/way/942604537 | https://www.flexential.com/</x:v>
      </x:c>
      <x:c r="AF13" s="128" t="str">
        <x:v>2026-07-23</x:v>
      </x:c>
      <x:c r="AG13" s="85" t="str">
        <x:v>confirmed</x:v>
      </x:c>
      <x:c r="AH13" s="85" t="str">
        <x:v>identified</x:v>
      </x:c>
      <x:c r="AI13" s="96" t="n">
        <x:v>3</x:v>
      </x:c>
      <x:c r="AJ13" s="86" t="b">
        <x:v>1</x:v>
      </x:c>
      <x:c r="AK13" s="96" t="n">
        <x:v>98</x:v>
      </x:c>
      <x:c r="AL13" s="85" t="str">
        <x:v>high</x:v>
      </x:c>
      <x:c r="AM13" s="85" t="str">
        <x:v>Cross-verified facility record; unresolved values remain null rather than inferred.</x:v>
      </x:c>
      <x:c r="AN13" s="85" t="str">
        <x:v>1.1</x:v>
      </x:c>
      <x:c r="AO13" s="85" t="str">
        <x:v>2026-09-03-deduplicated</x:v>
      </x:c>
    </x:row>
    <x:row r="14" ht="30" hidden="0" customHeight="1">
      <x:c r="A14" s="16" t="str">
        <x:v>TNDC-013</x:v>
      </x:c>
      <x:c r="B14" s="23" t="str">
        <x:v>TierPoint Nashville</x:v>
      </x:c>
      <x:c r="C14" s="23" t="str">
        <x:v>TierPoint</x:v>
      </x:c>
      <x:c r="D14" s="23" t="str">
        <x:v>Compass Datacenters | TierPoint | TierPoint, LLC</x:v>
      </x:c>
      <x:c r="E14" s="23" t="str">
        <x:v>311 Eddy Lane</x:v>
      </x:c>
      <x:c r="F14" s="17" t="str">
        <x:v>Franklin</x:v>
      </x:c>
      <x:c r="G14" s="26" t="str">
        <x:v>Williamson</x:v>
      </x:c>
      <x:c r="H14" s="17" t="str">
        <x:v>TN</x:v>
      </x:c>
      <x:c r="I14" s="17" t="str">
        <x:v>37064</x:v>
      </x:c>
      <x:c r="J14" s="29" t="n">
        <x:v>35.924575</x:v>
      </x:c>
      <x:c r="K14" s="29" t="n">
        <x:v>-86.85582</x:v>
      </x:c>
      <x:c r="L14" s="17" t="str">
        <x:v>address_or_site</x:v>
      </x:c>
      <x:c r="M14" s="17" t="str">
        <x:v>high</x:v>
      </x:c>
      <x:c r="N14" s="23" t="str">
        <x:v>peeringdb:4374</x:v>
      </x:c>
      <x:c r="O14" s="88" t="n">
        <x:v>0.014</x:v>
      </x:c>
      <x:c r="P14" s="77" t="b">
        <x:v>0</x:v>
      </x:c>
      <x:c r="Q14" s="17" t="str">
        <x:v>operational</x:v>
      </x:c>
      <x:c r="R14" s="17" t="str">
        <x:v>operational</x:v>
      </x:c>
      <x:c r="S14" s="77" t="b">
        <x:v>0</x:v>
      </x:c>
      <x:c r="T14" s="17" t="str">
        <x:v>data_center</x:v>
      </x:c>
      <x:c r="U14" s="17" t="str">
        <x:v>data_center | interconnection_facility</x:v>
      </x:c>
      <x:c r="V14" s="17" t="str">
        <x:v>core_data_center</x:v>
      </x:c>
      <x:c r="W14" s="91"/>
      <x:c r="X14" s="91" t="n">
        <x:v>52000</x:v>
      </x:c>
      <x:c r="Y14" s="91" t="n">
        <x:v>14</x:v>
      </x:c>
      <x:c r="Z14" s="35"/>
      <x:c r="AA14" s="17" t="str">
        <x:v>compute_atlas | peeringdb | compassdatacenters.com | registry.deploy.report | baxtel.com</x:v>
      </x:c>
      <x:c r="AB14" s="94" t="n">
        <x:v>5</x:v>
      </x:c>
      <x:c r="AC14" s="94" t="n">
        <x:v>6</x:v>
      </x:c>
      <x:c r="AD14" s="23" t="str">
        <x:v>compute_atlas:tierpoint-nashville-tn | peeringdb:4374 | verification:tndc-013-update:01 | verification:tndc-013-update:02 | verification:tndc-013-update:03 | verification:tndc-013-update:04</x:v>
      </x:c>
      <x:c r="AE14" s="23" t="str">
        <x:v>https://www.arcgis.com/home/item.html?id=597555ce8e4a4892a030784a7c657fdd | https://www.openstreetmap.org/way/819981908 | https://www.tierpoint.com/data-centers/tennessee/nashville/ | https://www.compassdatacenters.com/data-center-markets/ | https://www.compassdatacenters.com/news/compass-datacenters-completes-construction-of-first-data-center-facility-in-suburban-nashville/ | https://registry.deploy.report/datacenters/facilities/compass-nashville-franklin | https://baxtel.com/data-center/compass-franklin-i</x:v>
      </x:c>
      <x:c r="AF14" s="128" t="str">
        <x:v>2026-09-03</x:v>
      </x:c>
      <x:c r="AG14" s="85" t="str">
        <x:v>confirmed</x:v>
      </x:c>
      <x:c r="AH14" s="85" t="str">
        <x:v>identified</x:v>
      </x:c>
      <x:c r="AI14" s="96" t="n">
        <x:v>6</x:v>
      </x:c>
      <x:c r="AJ14" s="86" t="b">
        <x:v>1</x:v>
      </x:c>
      <x:c r="AK14" s="96" t="n">
        <x:v>98</x:v>
      </x:c>
      <x:c r="AL14" s="85" t="str">
        <x:v>high</x:v>
      </x:c>
      <x:c r="AM14" s="85" t="str">
        <x:v>Compass developed the Eddy Lane facility and TierPoint is the current operator. Shared address is consolidated into one physical-site record; public size figures reflect different phases of the site.</x:v>
      </x:c>
      <x:c r="AN14" s="85" t="str">
        <x:v>1.1</x:v>
      </x:c>
      <x:c r="AO14" s="85" t="str">
        <x:v>2026-09-03-deduplicated</x:v>
      </x:c>
    </x:row>
    <x:row r="15" ht="30" hidden="0" customHeight="1">
      <x:c r="A15" s="16" t="str">
        <x:v>TNDC-014</x:v>
      </x:c>
      <x:c r="B15" s="23" t="str">
        <x:v>Centersquare Gallatin (NAS) Campus</x:v>
      </x:c>
      <x:c r="C15" s="23" t="str">
        <x:v>Centersquare</x:v>
      </x:c>
      <x:c r="D15" s="23" t="str">
        <x:v>Centersquare</x:v>
      </x:c>
      <x:c r="E15" s="23" t="str">
        <x:v>1398 Gateway Dr</x:v>
      </x:c>
      <x:c r="F15" s="17" t="str">
        <x:v>Gallatin</x:v>
      </x:c>
      <x:c r="G15" s="26" t="str">
        <x:v>Sumner</x:v>
      </x:c>
      <x:c r="H15" s="17" t="str">
        <x:v>TN</x:v>
      </x:c>
      <x:c r="I15" s="17" t="str">
        <x:v>37066</x:v>
      </x:c>
      <x:c r="J15" s="29" t="n">
        <x:v>36.40406</x:v>
      </x:c>
      <x:c r="K15" s="29" t="n">
        <x:v>-86.39812</x:v>
      </x:c>
      <x:c r="L15" s="17" t="str">
        <x:v>exact</x:v>
      </x:c>
      <x:c r="M15" s="17" t="str">
        <x:v>high</x:v>
      </x:c>
      <x:c r="N15" s="23" t="str">
        <x:v>compute_atlas:centersquare-gallatin-tn</x:v>
      </x:c>
      <x:c r="O15" s="88"/>
      <x:c r="P15" s="77" t="b">
        <x:v>0</x:v>
      </x:c>
      <x:c r="Q15" s="17" t="str">
        <x:v>operational</x:v>
      </x:c>
      <x:c r="R15" s="17" t="str">
        <x:v>operational</x:v>
      </x:c>
      <x:c r="S15" s="77" t="b">
        <x:v>0</x:v>
      </x:c>
      <x:c r="T15" s="17" t="str">
        <x:v>data_center</x:v>
      </x:c>
      <x:c r="U15" s="17" t="str">
        <x:v>data_center</x:v>
      </x:c>
      <x:c r="V15" s="17" t="str">
        <x:v>core_data_center</x:v>
      </x:c>
      <x:c r="W15" s="91"/>
      <x:c r="X15" s="91"/>
      <x:c r="Y15" s="91" t="n">
        <x:v>28.5</x:v>
      </x:c>
      <x:c r="Z15" s="35" t="n">
        <x:v>200000000</x:v>
      </x:c>
      <x:c r="AA15" s="17" t="str">
        <x:v>compute_atlas | baxtel</x:v>
      </x:c>
      <x:c r="AB15" s="94" t="n">
        <x:v>2</x:v>
      </x:c>
      <x:c r="AC15" s="94" t="n">
        <x:v>2</x:v>
      </x:c>
      <x:c r="AD15" s="23" t="str">
        <x:v>compute_atlas:centersquare-gallatin-tn | baxtel:centersquare-gallatin-nas</x:v>
      </x:c>
      <x:c r="AE15" s="23" t="str">
        <x:v>https://baxtel.com/data-center/centersquare-gallatin-nas | https://www.datacenterfrontier.com/cloud/article/11427377/evoque-to-partner-with-archer-datacenters-on-200m-nashville-campus | https://www.newschannel5.com/news/how-big-are-middle-tennessees-data-centers-a-look-at-facilities-already-operating</x:v>
      </x:c>
      <x:c r="AF15" s="128" t="str">
        <x:v>2026-09-03</x:v>
      </x:c>
      <x:c r="AG15" s="85" t="str">
        <x:v>confirmed</x:v>
      </x:c>
      <x:c r="AH15" s="85" t="str">
        <x:v>identified</x:v>
      </x:c>
      <x:c r="AI15" s="96" t="n">
        <x:v>3</x:v>
      </x:c>
      <x:c r="AJ15" s="86" t="b">
        <x:v>1</x:v>
      </x:c>
      <x:c r="AK15" s="96" t="n">
        <x:v>100</x:v>
      </x:c>
      <x:c r="AL15" s="85" t="str">
        <x:v>high</x:v>
      </x:c>
      <x:c r="AM15" s="85" t="str">
        <x:v>Cross-verified facility record; unresolved values remain null rather than inferred.</x:v>
      </x:c>
      <x:c r="AN15" s="85" t="str">
        <x:v>1.1</x:v>
      </x:c>
      <x:c r="AO15" s="85" t="str">
        <x:v>2026-09-03-deduplicated</x:v>
      </x:c>
    </x:row>
    <x:row r="16" ht="30" hidden="0" customHeight="1">
      <x:c r="A16" s="16" t="str">
        <x:v>TNDC-015</x:v>
      </x:c>
      <x:c r="B16" s="23" t="str">
        <x:v>Meta Gallatin Data Center Campus</x:v>
      </x:c>
      <x:c r="C16" s="23" t="str">
        <x:v>Meta</x:v>
      </x:c>
      <x:c r="D16" s="23" t="str">
        <x:v>Meta</x:v>
      </x:c>
      <x:c r="E16" s="23" t="str">
        <x:v>One Meta Lp</x:v>
      </x:c>
      <x:c r="F16" s="17" t="str">
        <x:v>Gallatin</x:v>
      </x:c>
      <x:c r="G16" s="26" t="str">
        <x:v>Sumner</x:v>
      </x:c>
      <x:c r="H16" s="17" t="str">
        <x:v>TN</x:v>
      </x:c>
      <x:c r="I16" s="17" t="str">
        <x:v>37066</x:v>
      </x:c>
      <x:c r="J16" s="29" t="n">
        <x:v>36.41011</x:v>
      </x:c>
      <x:c r="K16" s="29" t="n">
        <x:v>-86.3724</x:v>
      </x:c>
      <x:c r="L16" s="17" t="str">
        <x:v>address_or_site</x:v>
      </x:c>
      <x:c r="M16" s="17" t="str">
        <x:v>medium</x:v>
      </x:c>
      <x:c r="N16" s="23" t="str">
        <x:v>fractracker:496</x:v>
      </x:c>
      <x:c r="O16" s="88" t="n">
        <x:v>6.2572</x:v>
      </x:c>
      <x:c r="P16" s="77" t="b">
        <x:v>1</x:v>
      </x:c>
      <x:c r="Q16" s="17" t="str">
        <x:v>operational</x:v>
      </x:c>
      <x:c r="R16" s="17" t="str">
        <x:v>operational</x:v>
      </x:c>
      <x:c r="S16" s="77" t="b">
        <x:v>0</x:v>
      </x:c>
      <x:c r="T16" s="17" t="str">
        <x:v>data_center</x:v>
      </x:c>
      <x:c r="U16" s="17" t="str">
        <x:v>data_center</x:v>
      </x:c>
      <x:c r="V16" s="17" t="str">
        <x:v>core_data_center</x:v>
      </x:c>
      <x:c r="W16" s="91"/>
      <x:c r="X16" s="91" t="n">
        <x:v>1900000</x:v>
      </x:c>
      <x:c r="Y16" s="91" t="n">
        <x:v>900</x:v>
      </x:c>
      <x:c r="Z16" s="35" t="n">
        <x:v>1500000000</x:v>
      </x:c>
      <x:c r="AA16" s="17" t="str">
        <x:v>compute_atlas | fractracker</x:v>
      </x:c>
      <x:c r="AB16" s="94" t="n">
        <x:v>2</x:v>
      </x:c>
      <x:c r="AC16" s="94" t="n">
        <x:v>2</x:v>
      </x:c>
      <x:c r="AD16" s="23" t="str">
        <x:v>compute_atlas:meta-gallatin-tn | fractracker:496</x:v>
      </x:c>
      <x:c r="AE16" s="23" t="str">
        <x:v>https://datacenters.atmeta.com/2024/11/gallatin-we-are-online/ | https://ttc.tml1.org/2024/11/15/meta-data-center-begins-operations-gallatin | https://w.media/meta-expands-gallatin-data-center-with-nearly-1b-total-investment/ | https://www.datacenterdynamics.com/en/news/meta-brings-data-centers-in-tents-to-gallatin-tennessee/ | https://www.pascalforgallatin.com/post/why-is-gallatin-giving-woolhawk-a-tax-break-when-they-are-considering-raising-our-property-taxes | https://www.weku.org/amsn/2025-11-25/tennessee-has-60-data-centers-nashville-probably-has-more-than-you-think | https://www.datacenterdynamics.com/en/news/meta-to-expand-tennessee-data-center-campus/</x:v>
      </x:c>
      <x:c r="AF16" s="128" t="str">
        <x:v>2026-07-25</x:v>
      </x:c>
      <x:c r="AG16" s="85" t="str">
        <x:v>confirmed</x:v>
      </x:c>
      <x:c r="AH16" s="85" t="str">
        <x:v>identified</x:v>
      </x:c>
      <x:c r="AI16" s="96" t="n">
        <x:v>6</x:v>
      </x:c>
      <x:c r="AJ16" s="86" t="b">
        <x:v>1</x:v>
      </x:c>
      <x:c r="AK16" s="96" t="n">
        <x:v>88</x:v>
      </x:c>
      <x:c r="AL16" s="85" t="str">
        <x:v>high</x:v>
      </x:c>
      <x:c r="AM16" s="85" t="str">
        <x:v>Cross-verified facility record; unresolved values remain null rather than inferred.</x:v>
      </x:c>
      <x:c r="AN16" s="85" t="str">
        <x:v>1.1</x:v>
      </x:c>
      <x:c r="AO16" s="85" t="str">
        <x:v>2026-09-03-deduplicated</x:v>
      </x:c>
    </x:row>
    <x:row r="17" ht="30" hidden="0" customHeight="1">
      <x:c r="A17" s="16" t="str">
        <x:v>TNDC-016</x:v>
      </x:c>
      <x:c r="B17" s="23" t="str">
        <x:v>CleanSpark Jellico Bitcoin Mining Facility</x:v>
      </x:c>
      <x:c r="C17" s="23" t="str">
        <x:v>CleanSpark, Inc.</x:v>
      </x:c>
      <x:c r="D17" s="23" t="str">
        <x:v>CleanSpark, Inc.</x:v>
      </x:c>
      <x:c r="E17" s="23" t="str">
        <x:v>131-181 Douglas Ln</x:v>
      </x:c>
      <x:c r="F17" s="17" t="str">
        <x:v>Jellico</x:v>
      </x:c>
      <x:c r="G17" s="26" t="str">
        <x:v>Campbell</x:v>
      </x:c>
      <x:c r="H17" s="17" t="str">
        <x:v>TN</x:v>
      </x:c>
      <x:c r="I17" s="17" t="str">
        <x:v>37762</x:v>
      </x:c>
      <x:c r="J17" s="29" t="n">
        <x:v>36.5825</x:v>
      </x:c>
      <x:c r="K17" s="29" t="n">
        <x:v>-84.1306</x:v>
      </x:c>
      <x:c r="L17" s="17" t="str">
        <x:v>approximate</x:v>
      </x:c>
      <x:c r="M17" s="17" t="str">
        <x:v>medium</x:v>
      </x:c>
      <x:c r="N17" s="23" t="str">
        <x:v>compute_atlas:cleanspark-jellico-tn</x:v>
      </x:c>
      <x:c r="O17" s="88"/>
      <x:c r="P17" s="77" t="b">
        <x:v>0</x:v>
      </x:c>
      <x:c r="Q17" s="17" t="str">
        <x:v>operational</x:v>
      </x:c>
      <x:c r="R17" s="17" t="str">
        <x:v>operational</x:v>
      </x:c>
      <x:c r="S17" s="77" t="b">
        <x:v>0</x:v>
      </x:c>
      <x:c r="T17" s="17" t="str">
        <x:v>crypto_mining</x:v>
      </x:c>
      <x:c r="U17" s="17" t="str">
        <x:v>crypto_mining</x:v>
      </x:c>
      <x:c r="V17" s="17" t="str">
        <x:v>crypto_mining</x:v>
      </x:c>
      <x:c r="W17" s="91" t="n">
        <x:v>25</x:v>
      </x:c>
      <x:c r="X17" s="91"/>
      <x:c r="Y17" s="91"/>
      <x:c r="Z17" s="35"/>
      <x:c r="AA17" s="17" t="str">
        <x:v>compute_atlas | datacentermap.com</x:v>
      </x:c>
      <x:c r="AB17" s="94" t="n">
        <x:v>2</x:v>
      </x:c>
      <x:c r="AC17" s="94" t="n">
        <x:v>2</x:v>
      </x:c>
      <x:c r="AD17" s="23" t="str">
        <x:v>compute_atlas:cleanspark-jellico-tn | datacentermap:cleanspark-jellico</x:v>
      </x:c>
      <x:c r="AE17" s="23" t="str">
        <x:v>https://www.prnewswire.com/news-releases/cleanspark-to-add-5-ehs-and-increase-2024-guidance-with-acquisition-of-seven-additional-bitcoin-mining-facilities-in-tennessee-302244673.html | https://www.sec.gov/Archives/edgar/data/827876/000119312525297510/clsk-20250930.htm | https://www.datacentermap.com/usa/tennessee/knoxville/cleanspark-jellico/ | https://www.sec.gov/Archives/edgar/data/827876/000095017024105354/clsk-ex10_4.htm</x:v>
      </x:c>
      <x:c r="AF17" s="128" t="str">
        <x:v>2026-09-04</x:v>
      </x:c>
      <x:c r="AG17" s="85" t="str">
        <x:v>confirmed</x:v>
      </x:c>
      <x:c r="AH17" s="85" t="str">
        <x:v>identified</x:v>
      </x:c>
      <x:c r="AI17" s="96" t="n">
        <x:v>2</x:v>
      </x:c>
      <x:c r="AJ17" s="86" t="b">
        <x:v>1</x:v>
      </x:c>
      <x:c r="AK17" s="96" t="n">
        <x:v>70</x:v>
      </x:c>
      <x:c r="AL17" s="85" t="str">
        <x:v>medium</x:v>
      </x:c>
      <x:c r="AM17" s="85" t="str">
        <x:v>131-181 Douglas Ln is independently confirmed by the SEC-filed CleanSpark agreement; coordinate remains explicitly approximate.</x:v>
      </x:c>
      <x:c r="AN17" s="85" t="str">
        <x:v>1.1</x:v>
      </x:c>
      <x:c r="AO17" s="85" t="str">
        <x:v>2026-09-03-deduplicated</x:v>
      </x:c>
    </x:row>
    <x:row r="18" ht="30" hidden="0" customHeight="1">
      <x:c r="A18" s="16" t="str">
        <x:v>TNDC-017</x:v>
      </x:c>
      <x:c r="B18" s="23" t="str">
        <x:v>Bitdeer Knoxville AI Datacenter (5101 S. National Drive)</x:v>
      </x:c>
      <x:c r="C18" s="23" t="str">
        <x:v>Bitdeer</x:v>
      </x:c>
      <x:c r="D18" s="23" t="str">
        <x:v>Bitdeer</x:v>
      </x:c>
      <x:c r="E18" s="23" t="str">
        <x:v>5101 S National Dr</x:v>
      </x:c>
      <x:c r="F18" s="17" t="str">
        <x:v>Knoxville</x:v>
      </x:c>
      <x:c r="G18" s="26" t="str">
        <x:v>Knox</x:v>
      </x:c>
      <x:c r="H18" s="17" t="str">
        <x:v>TN</x:v>
      </x:c>
      <x:c r="I18" s="17" t="str">
        <x:v>37914</x:v>
      </x:c>
      <x:c r="J18" s="29" t="n">
        <x:v>35.941272</x:v>
      </x:c>
      <x:c r="K18" s="29" t="n">
        <x:v>-83.836066</x:v>
      </x:c>
      <x:c r="L18" s="17" t="str">
        <x:v>address_or_site</x:v>
      </x:c>
      <x:c r="M18" s="17" t="str">
        <x:v>high</x:v>
      </x:c>
      <x:c r="N18" s="23" t="str">
        <x:v>compute_atlas:bitdeer-knoxville-tn</x:v>
      </x:c>
      <x:c r="O18" s="88"/>
      <x:c r="P18" s="77" t="b">
        <x:v>0</x:v>
      </x:c>
      <x:c r="Q18" s="17" t="str">
        <x:v>operational</x:v>
      </x:c>
      <x:c r="R18" s="17" t="str">
        <x:v>operational | under_construction</x:v>
      </x:c>
      <x:c r="S18" s="77" t="b">
        <x:v>1</x:v>
      </x:c>
      <x:c r="T18" s="17" t="str">
        <x:v>data_center</x:v>
      </x:c>
      <x:c r="U18" s="17" t="str">
        <x:v>data_center</x:v>
      </x:c>
      <x:c r="V18" s="17" t="str">
        <x:v>core_data_center</x:v>
      </x:c>
      <x:c r="W18" s="91"/>
      <x:c r="X18" s="91"/>
      <x:c r="Y18" s="91" t="n">
        <x:v>9.88</x:v>
      </x:c>
      <x:c r="Z18" s="35"/>
      <x:c r="AA18" s="17" t="str">
        <x:v>compute_atlas | datacentermap</x:v>
      </x:c>
      <x:c r="AB18" s="94" t="n">
        <x:v>2</x:v>
      </x:c>
      <x:c r="AC18" s="94" t="n">
        <x:v>2</x:v>
      </x:c>
      <x:c r="AD18" s="23" t="str">
        <x:v>compute_atlas:bitdeer-knoxville-tn | datacentermap:bitdeer-tennessee</x:v>
      </x:c>
      <x:c r="AE18" s="23" t="str">
        <x:v>https://www.arcgis.com/home/item.html?id=597555ce8e4a4892a030784a7c657fdd | https://www.sec.gov/Archives/edgar/data/1899123/000121390026049770/ea0282628-20f_bitdeer.htm | https://www.datacentermap.com/usa/tennessee/knoxville/bitdeer-knoxville-tennessee/specs/ | https://commission.knoxcountytn.gov/forums/topic/data-center-moratorium/</x:v>
      </x:c>
      <x:c r="AF18" s="128" t="str">
        <x:v>2026-09-03</x:v>
      </x:c>
      <x:c r="AG18" s="85" t="str">
        <x:v>confirmed</x:v>
      </x:c>
      <x:c r="AH18" s="85" t="str">
        <x:v>identified</x:v>
      </x:c>
      <x:c r="AI18" s="96" t="n">
        <x:v>4</x:v>
      </x:c>
      <x:c r="AJ18" s="86" t="b">
        <x:v>1</x:v>
      </x:c>
      <x:c r="AK18" s="96" t="n">
        <x:v>90</x:v>
      </x:c>
      <x:c r="AL18" s="85" t="str">
        <x:v>high</x:v>
      </x:c>
      <x:c r="AM18" s="85" t="str">
        <x:v>Physical Bitdeer site independently reported operational since 2020; prior under_construction label likely refers to AI expansion. Operational is used in Master and status conflict is retained.</x:v>
      </x:c>
      <x:c r="AN18" s="85" t="str">
        <x:v>1.1</x:v>
      </x:c>
      <x:c r="AO18" s="85" t="str">
        <x:v>2026-09-03-deduplicated</x:v>
      </x:c>
    </x:row>
    <x:row r="19" ht="30" hidden="0" customHeight="1">
      <x:c r="A19" s="16" t="str">
        <x:v>TNDC-018</x:v>
      </x:c>
      <x:c r="B19" s="23" t="str">
        <x:v>Peace Communications KNX1</x:v>
      </x:c>
      <x:c r="C19" s="23" t="str">
        <x:v>Scipio Technologies</x:v>
      </x:c>
      <x:c r="D19" s="23" t="str">
        <x:v>Nexus Group | Peace Communications | Scipio Technologies</x:v>
      </x:c>
      <x:c r="E19" s="23" t="str">
        <x:v>500 W. Summit Hill</x:v>
      </x:c>
      <x:c r="F19" s="17" t="str">
        <x:v>Knoxville</x:v>
      </x:c>
      <x:c r="G19" s="26" t="str">
        <x:v>Knox</x:v>
      </x:c>
      <x:c r="H19" s="17" t="str">
        <x:v>TN</x:v>
      </x:c>
      <x:c r="I19" s="17" t="str">
        <x:v>37902</x:v>
      </x:c>
      <x:c r="J19" s="29" t="n">
        <x:v>35.965586</x:v>
      </x:c>
      <x:c r="K19" s="29" t="n">
        <x:v>-83.921438</x:v>
      </x:c>
      <x:c r="L19" s="17" t="str">
        <x:v>address_or_site</x:v>
      </x:c>
      <x:c r="M19" s="17" t="str">
        <x:v>high</x:v>
      </x:c>
      <x:c r="N19" s="23" t="str">
        <x:v>peeringdb:234</x:v>
      </x:c>
      <x:c r="O19" s="88"/>
      <x:c r="P19" s="77" t="b">
        <x:v>0</x:v>
      </x:c>
      <x:c r="Q19" s="17" t="str">
        <x:v>operational</x:v>
      </x:c>
      <x:c r="R19" s="17" t="str">
        <x:v>operational</x:v>
      </x:c>
      <x:c r="S19" s="77" t="b">
        <x:v>0</x:v>
      </x:c>
      <x:c r="T19" s="17" t="str">
        <x:v>interconnection_facility</x:v>
      </x:c>
      <x:c r="U19" s="17" t="str">
        <x:v>interconnection_facility</x:v>
      </x:c>
      <x:c r="V19" s="17" t="str">
        <x:v>core_data_center</x:v>
      </x:c>
      <x:c r="W19" s="91"/>
      <x:c r="X19" s="91"/>
      <x:c r="Y19" s="91"/>
      <x:c r="Z19" s="35"/>
      <x:c r="AA19" s="17" t="str">
        <x:v>peeringdb | scipio_official</x:v>
      </x:c>
      <x:c r="AB19" s="94" t="n">
        <x:v>2</x:v>
      </x:c>
      <x:c r="AC19" s="94" t="n">
        <x:v>2</x:v>
      </x:c>
      <x:c r="AD19" s="23" t="str">
        <x:v>peeringdb:234 | scipio:knoxville</x:v>
      </x:c>
      <x:c r="AE19" s="23" t="str">
        <x:v>http://www.peacecom.net | https://scipiotech.com/support/</x:v>
      </x:c>
      <x:c r="AF19" s="128" t="str">
        <x:v>2026-09-03</x:v>
      </x:c>
      <x:c r="AG19" s="85" t="str">
        <x:v>confirmed</x:v>
      </x:c>
      <x:c r="AH19" s="85" t="str">
        <x:v>identified</x:v>
      </x:c>
      <x:c r="AI19" s="96" t="n">
        <x:v>2</x:v>
      </x:c>
      <x:c r="AJ19" s="86" t="b">
        <x:v>1</x:v>
      </x:c>
      <x:c r="AK19" s="96" t="n">
        <x:v>91</x:v>
      </x:c>
      <x:c r="AL19" s="85" t="str">
        <x:v>high</x:v>
      </x:c>
      <x:c r="AM19" s="85" t="str">
        <x:v>Peace Communications rebranded as Scipio Technologies in 2024; current operator normalized while legacy names are preserved.</x:v>
      </x:c>
      <x:c r="AN19" s="85" t="str">
        <x:v>1.1</x:v>
      </x:c>
      <x:c r="AO19" s="85" t="str">
        <x:v>2026-09-03-deduplicated</x:v>
      </x:c>
    </x:row>
    <x:row r="20" ht="30" hidden="0" customHeight="1">
      <x:c r="A20" s="16" t="str">
        <x:v>TNDC-019</x:v>
      </x:c>
      <x:c r="B20" s="23" t="str">
        <x:v>CleanSpark Lenoir City Bitcoin Mining Facility</x:v>
      </x:c>
      <x:c r="C20" s="23" t="str">
        <x:v>CleanSpark, Inc.</x:v>
      </x:c>
      <x:c r="D20" s="23" t="str">
        <x:v>CleanSpark, Inc.</x:v>
      </x:c>
      <x:c r="E20" s="23" t="str">
        <x:v>14250 Hickory Creek Rd</x:v>
      </x:c>
      <x:c r="F20" s="17" t="str">
        <x:v>Lenoir City</x:v>
      </x:c>
      <x:c r="G20" s="26" t="str">
        <x:v>Loudon</x:v>
      </x:c>
      <x:c r="H20" s="17" t="str">
        <x:v>TN</x:v>
      </x:c>
      <x:c r="I20" s="17" t="str">
        <x:v>37771</x:v>
      </x:c>
      <x:c r="J20" s="29" t="n">
        <x:v>35.7973</x:v>
      </x:c>
      <x:c r="K20" s="29" t="n">
        <x:v>-84.256</x:v>
      </x:c>
      <x:c r="L20" s="17" t="str">
        <x:v>approximate</x:v>
      </x:c>
      <x:c r="M20" s="17" t="str">
        <x:v>medium</x:v>
      </x:c>
      <x:c r="N20" s="23" t="str">
        <x:v>compute_atlas:cleanspark-lenoir-city-tn</x:v>
      </x:c>
      <x:c r="O20" s="88"/>
      <x:c r="P20" s="77" t="b">
        <x:v>0</x:v>
      </x:c>
      <x:c r="Q20" s="17" t="str">
        <x:v>operational</x:v>
      </x:c>
      <x:c r="R20" s="17" t="str">
        <x:v>operational</x:v>
      </x:c>
      <x:c r="S20" s="77" t="b">
        <x:v>0</x:v>
      </x:c>
      <x:c r="T20" s="17" t="str">
        <x:v>crypto_mining</x:v>
      </x:c>
      <x:c r="U20" s="17" t="str">
        <x:v>crypto_mining</x:v>
      </x:c>
      <x:c r="V20" s="17" t="str">
        <x:v>crypto_mining</x:v>
      </x:c>
      <x:c r="W20" s="91" t="n">
        <x:v>40</x:v>
      </x:c>
      <x:c r="X20" s="91"/>
      <x:c r="Y20" s="91"/>
      <x:c r="Z20" s="35"/>
      <x:c r="AA20" s="17" t="str">
        <x:v>compute_atlas | datacentermap.com</x:v>
      </x:c>
      <x:c r="AB20" s="94" t="n">
        <x:v>2</x:v>
      </x:c>
      <x:c r="AC20" s="94" t="n">
        <x:v>2</x:v>
      </x:c>
      <x:c r="AD20" s="23" t="str">
        <x:v>compute_atlas:cleanspark-lenoir-city-tn | datacentermap:cleanspark-lenoir-city</x:v>
      </x:c>
      <x:c r="AE20" s="23" t="str">
        <x:v>https://www.globenewswire.com/news-release/2024/02/14/2828934/0/en/GRIID-Infrastructure-Announces-Plans-to-Double-Capacity-of-Lenoir-City-Tenn-Bitcoin-Mining-Operations.html | https://www.prnewswire.com/news-releases/cleanspark-announces-agreement-to-acquire-griid-infrastructure-based-on-an-enterprise-value-of-155-million-and-expansion-plans-of-over-400-mw-in-tennessee-302184116.html | https://www.sec.gov/Archives/edgar/data/827876/000119312525297510/clsk-20250930.htm | https://www.datacentermap.com/usa/tennessee/knoxville/cleanspark-lenoir-city/specs/ | https://www.sec.gov/Archives/edgar/data/1830029/000095017024091972/grdi-ex10_2.htm</x:v>
      </x:c>
      <x:c r="AF20" s="128" t="str">
        <x:v>2026-09-03</x:v>
      </x:c>
      <x:c r="AG20" s="85" t="str">
        <x:v>confirmed</x:v>
      </x:c>
      <x:c r="AH20" s="85" t="str">
        <x:v>identified</x:v>
      </x:c>
      <x:c r="AI20" s="96" t="n">
        <x:v>3</x:v>
      </x:c>
      <x:c r="AJ20" s="86" t="b">
        <x:v>1</x:v>
      </x:c>
      <x:c r="AK20" s="96" t="n">
        <x:v>77</x:v>
      </x:c>
      <x:c r="AL20" s="85" t="str">
        <x:v>high</x:v>
      </x:c>
      <x:c r="AM20" s="85" t="str">
        <x:v>Exact address is independently supported by DataCenterMap and an SEC-filed TVA/LCUB PowerFlex agreement; 40 MW comes from the directory. Existing coordinate provenance is retained.</x:v>
      </x:c>
      <x:c r="AN20" s="85" t="str">
        <x:v>1.1</x:v>
      </x:c>
      <x:c r="AO20" s="85" t="str">
        <x:v>2026-09-03-deduplicated</x:v>
      </x:c>
    </x:row>
    <x:row r="21" ht="30" hidden="0" customHeight="1">
      <x:c r="A21" s="16" t="str">
        <x:v>TNDC-020</x:v>
      </x:c>
      <x:c r="B21" s="23" t="str">
        <x:v>CleanSpark Limestone Bitcoin Mining Facility (closed 2026)</x:v>
      </x:c>
      <x:c r="C21" s="23" t="str">
        <x:v>CleanSpark, Inc.</x:v>
      </x:c>
      <x:c r="D21" s="23" t="str">
        <x:v>CleanSpark, Inc.</x:v>
      </x:c>
      <x:c r="E21" s="23"/>
      <x:c r="F21" s="17" t="str">
        <x:v>Limestone</x:v>
      </x:c>
      <x:c r="G21" s="26" t="str">
        <x:v>Washington</x:v>
      </x:c>
      <x:c r="H21" s="17" t="str">
        <x:v>TN</x:v>
      </x:c>
      <x:c r="I21" s="17"/>
      <x:c r="J21" s="29" t="n">
        <x:v>36.2235</x:v>
      </x:c>
      <x:c r="K21" s="29" t="n">
        <x:v>-82.625</x:v>
      </x:c>
      <x:c r="L21" s="17" t="str">
        <x:v>approximate</x:v>
      </x:c>
      <x:c r="M21" s="17" t="str">
        <x:v>medium</x:v>
      </x:c>
      <x:c r="N21" s="23" t="str">
        <x:v>compute_atlas:cleanspark-limestone-tn</x:v>
      </x:c>
      <x:c r="O21" s="88"/>
      <x:c r="P21" s="77" t="b">
        <x:v>0</x:v>
      </x:c>
      <x:c r="Q21" s="17" t="str">
        <x:v>cancelled</x:v>
      </x:c>
      <x:c r="R21" s="17" t="str">
        <x:v>cancelled</x:v>
      </x:c>
      <x:c r="S21" s="77" t="b">
        <x:v>0</x:v>
      </x:c>
      <x:c r="T21" s="17" t="str">
        <x:v>crypto_mining</x:v>
      </x:c>
      <x:c r="U21" s="17" t="str">
        <x:v>crypto_mining</x:v>
      </x:c>
      <x:c r="V21" s="17" t="str">
        <x:v>crypto_mining</x:v>
      </x:c>
      <x:c r="W21" s="91"/>
      <x:c r="X21" s="91"/>
      <x:c r="Y21" s="91"/>
      <x:c r="Z21" s="35"/>
      <x:c r="AA21" s="17" t="str">
        <x:v>compute_atlas</x:v>
      </x:c>
      <x:c r="AB21" s="94" t="n">
        <x:v>1</x:v>
      </x:c>
      <x:c r="AC21" s="94" t="n">
        <x:v>1</x:v>
      </x:c>
      <x:c r="AD21" s="23" t="str">
        <x:v>compute_atlas:cleanspark-limestone-tn</x:v>
      </x:c>
      <x:c r="AE21" s="23" t="str">
        <x:v>https://www.prnewswire.com/news-releases/cleanspark-announces-agreement-to-acquire-griid-infrastructure-based-on-an-enterprise-value-of-155-million-and-expansion-plans-of-over-400-mw-in-tennessee-302184116.html | https://www.wjhl.com/news/local/bitcoin-mine-would-close-move-in-proposed-lawsuit-settlement/ | https://www.yahoo.com/news/articles/noisy-bitcoin-mine-shuts-down-212411956.html</x:v>
      </x:c>
      <x:c r="AF21" s="128" t="str">
        <x:v>2026-08-05</x:v>
      </x:c>
      <x:c r="AG21" s="85" t="str">
        <x:v>confirmed</x:v>
      </x:c>
      <x:c r="AH21" s="85" t="str">
        <x:v>identified</x:v>
      </x:c>
      <x:c r="AI21" s="96" t="n">
        <x:v>3</x:v>
      </x:c>
      <x:c r="AJ21" s="86" t="b">
        <x:v>1</x:v>
      </x:c>
      <x:c r="AK21" s="96" t="n">
        <x:v>77</x:v>
      </x:c>
      <x:c r="AL21" s="85" t="str">
        <x:v>high</x:v>
      </x:c>
      <x:c r="AM21" s="85" t="str">
        <x:v>Cross-verified facility record; unresolved values remain null rather than inferred.</x:v>
      </x:c>
      <x:c r="AN21" s="85" t="str">
        <x:v>1.1</x:v>
      </x:c>
      <x:c r="AO21" s="85" t="str">
        <x:v>2026-09-03-deduplicated</x:v>
      </x:c>
    </x:row>
    <x:row r="22" ht="30" hidden="0" customHeight="1">
      <x:c r="A22" s="16" t="str">
        <x:v>TNDC-021</x:v>
      </x:c>
      <x:c r="B22" s="23" t="str">
        <x:v>Arnold Air Force Base Data Center</x:v>
      </x:c>
      <x:c r="C22" s="23" t="str">
        <x:v>Arnold Engineering Development Complex (AEDC)</x:v>
      </x:c>
      <x:c r="D22" s="23"/>
      <x:c r="E22" s="23"/>
      <x:c r="F22" s="17" t="str">
        <x:v>Manchester</x:v>
      </x:c>
      <x:c r="G22" s="26" t="str">
        <x:v>Coffee</x:v>
      </x:c>
      <x:c r="H22" s="17" t="str">
        <x:v>TN</x:v>
      </x:c>
      <x:c r="I22" s="17" t="str">
        <x:v>37355</x:v>
      </x:c>
      <x:c r="J22" s="29" t="n">
        <x:v>35.37539</x:v>
      </x:c>
      <x:c r="K22" s="29" t="n">
        <x:v>-86.07293</x:v>
      </x:c>
      <x:c r="L22" s="17" t="str">
        <x:v>approximate_site</x:v>
      </x:c>
      <x:c r="M22" s="17" t="str">
        <x:v>medium</x:v>
      </x:c>
      <x:c r="N22" s="23" t="str">
        <x:v>fractracker:497</x:v>
      </x:c>
      <x:c r="O22" s="88"/>
      <x:c r="P22" s="77" t="b">
        <x:v>0</x:v>
      </x:c>
      <x:c r="Q22" s="17" t="str">
        <x:v>cancelled</x:v>
      </x:c>
      <x:c r="R22" s="17" t="str">
        <x:v>proposed | no_proposal</x:v>
      </x:c>
      <x:c r="S22" s="77" t="b">
        <x:v>1</x:v>
      </x:c>
      <x:c r="T22" s="17" t="str">
        <x:v>data_center</x:v>
      </x:c>
      <x:c r="U22" s="17" t="str">
        <x:v>data_center</x:v>
      </x:c>
      <x:c r="V22" s="17" t="str">
        <x:v>core_data_center</x:v>
      </x:c>
      <x:c r="W22" s="91"/>
      <x:c r="X22" s="91"/>
      <x:c r="Y22" s="91" t="n">
        <x:v>274</x:v>
      </x:c>
      <x:c r="Z22" s="35"/>
      <x:c r="AA22" s="17" t="str">
        <x:v>fractracker | usaf_official</x:v>
      </x:c>
      <x:c r="AB22" s="94" t="n">
        <x:v>2</x:v>
      </x:c>
      <x:c r="AC22" s="94" t="n">
        <x:v>2</x:v>
      </x:c>
      <x:c r="AD22" s="23" t="str">
        <x:v>fractracker:497 | usaf:arnold-no-proposal-20260601</x:v>
      </x:c>
      <x:c r="AE22" s="23" t="str">
        <x:v>https://www.datacenterdynamics.com/en/news/us-department-of-the-air-force-accepting-proposals-for-ai-data-centers-in-military-bases/ | https://www.arnold.af.mil/News/Article-Display/Article/4505271/notification-of-ai-data-center-no-proposal/ | https://www.arnold.af.mil/About-Us/Fact-Sheets/Display/Article/4351003/artificial-intelligence-data-center-frequently-asked-questions/ | https://www.arnold.af.mil/</x:v>
      </x:c>
      <x:c r="AF22" s="128" t="str">
        <x:v>2026-09-04</x:v>
      </x:c>
      <x:c r="AG22" s="85" t="str">
        <x:v>confirmed</x:v>
      </x:c>
      <x:c r="AH22" s="85" t="str">
        <x:v>no_operator_no_proposal</x:v>
      </x:c>
      <x:c r="AI22" s="96" t="n">
        <x:v>2</x:v>
      </x:c>
      <x:c r="AJ22" s="86" t="b">
        <x:v>1</x:v>
      </x:c>
      <x:c r="AK22" s="96" t="n">
        <x:v>73</x:v>
      </x:c>
      <x:c r="AL22" s="85" t="str">
        <x:v>medium</x:v>
      </x:c>
      <x:c r="AM22" s="85" t="str">
        <x:v>Official Arnold AFB notice (2026-06-01) states no potential offerors submitted proposals. Lifecycle normalized to cancelled/no-proposal; no operator fabricated.</x:v>
      </x:c>
      <x:c r="AN22" s="85" t="str">
        <x:v>1.1</x:v>
      </x:c>
      <x:c r="AO22" s="85" t="str">
        <x:v>2026-09-03-deduplicated</x:v>
      </x:c>
    </x:row>
    <x:row r="23" ht="30" hidden="0" customHeight="1">
      <x:c r="A23" s="16" t="str">
        <x:v>TNDC-022</x:v>
      </x:c>
      <x:c r="B23" s="23" t="str">
        <x:v>CleanSpark Maynardville Bitcoin Mining Facility</x:v>
      </x:c>
      <x:c r="C23" s="23" t="str">
        <x:v>CleanSpark, Inc.</x:v>
      </x:c>
      <x:c r="D23" s="23" t="str">
        <x:v>CleanSpark, Inc.</x:v>
      </x:c>
      <x:c r="E23" s="23"/>
      <x:c r="F23" s="17" t="str">
        <x:v>Maynardville</x:v>
      </x:c>
      <x:c r="G23" s="26" t="str">
        <x:v>Union</x:v>
      </x:c>
      <x:c r="H23" s="17" t="str">
        <x:v>TN</x:v>
      </x:c>
      <x:c r="I23" s="17"/>
      <x:c r="J23" s="29" t="n">
        <x:v>36.2506</x:v>
      </x:c>
      <x:c r="K23" s="29" t="n">
        <x:v>-83.7974</x:v>
      </x:c>
      <x:c r="L23" s="17" t="str">
        <x:v>approximate</x:v>
      </x:c>
      <x:c r="M23" s="17" t="str">
        <x:v>medium</x:v>
      </x:c>
      <x:c r="N23" s="23" t="str">
        <x:v>compute_atlas:cleanspark-maynardville-tn</x:v>
      </x:c>
      <x:c r="O23" s="88"/>
      <x:c r="P23" s="77" t="b">
        <x:v>0</x:v>
      </x:c>
      <x:c r="Q23" s="17" t="str">
        <x:v>operational</x:v>
      </x:c>
      <x:c r="R23" s="17" t="str">
        <x:v>operational</x:v>
      </x:c>
      <x:c r="S23" s="77" t="b">
        <x:v>0</x:v>
      </x:c>
      <x:c r="T23" s="17" t="str">
        <x:v>crypto_mining</x:v>
      </x:c>
      <x:c r="U23" s="17" t="str">
        <x:v>crypto_mining</x:v>
      </x:c>
      <x:c r="V23" s="17" t="str">
        <x:v>crypto_mining</x:v>
      </x:c>
      <x:c r="W23" s="91"/>
      <x:c r="X23" s="91"/>
      <x:c r="Y23" s="91"/>
      <x:c r="Z23" s="35"/>
      <x:c r="AA23" s="17" t="str">
        <x:v>compute_atlas</x:v>
      </x:c>
      <x:c r="AB23" s="94" t="n">
        <x:v>1</x:v>
      </x:c>
      <x:c r="AC23" s="94" t="n">
        <x:v>1</x:v>
      </x:c>
      <x:c r="AD23" s="23" t="str">
        <x:v>compute_atlas:cleanspark-maynardville-tn</x:v>
      </x:c>
      <x:c r="AE23" s="23" t="str">
        <x:v>https://www.prnewswire.com/news-releases/cleanspark-announces-agreement-to-acquire-griid-infrastructure-based-on-an-enterprise-value-of-155-million-and-expansion-plans-of-over-400-mw-in-tennessee-302184116.html | https://www.sec.gov/Archives/edgar/data/827876/000119312525297510/clsk-20250930.htm</x:v>
      </x:c>
      <x:c r="AF23" s="128" t="str">
        <x:v>2026-08-05</x:v>
      </x:c>
      <x:c r="AG23" s="85" t="str">
        <x:v>confirmed</x:v>
      </x:c>
      <x:c r="AH23" s="85" t="str">
        <x:v>identified</x:v>
      </x:c>
      <x:c r="AI23" s="96" t="n">
        <x:v>2</x:v>
      </x:c>
      <x:c r="AJ23" s="86" t="b">
        <x:v>1</x:v>
      </x:c>
      <x:c r="AK23" s="96" t="n">
        <x:v>70</x:v>
      </x:c>
      <x:c r="AL23" s="85" t="str">
        <x:v>medium</x:v>
      </x:c>
      <x:c r="AM23" s="85" t="str">
        <x:v>Cross-verified facility record; unresolved values remain null rather than inferred.</x:v>
      </x:c>
      <x:c r="AN23" s="85" t="str">
        <x:v>1.1</x:v>
      </x:c>
      <x:c r="AO23" s="85" t="str">
        <x:v>2026-09-03-deduplicated</x:v>
      </x:c>
    </x:row>
    <x:row r="24" ht="30" hidden="0" customHeight="1">
      <x:c r="A24" s="16" t="str">
        <x:v>TNDC-023</x:v>
      </x:c>
      <x:c r="B24" s="23" t="str">
        <x:v>Hixson Data Center (McMinnville)</x:v>
      </x:c>
      <x:c r="C24" s="23" t="str">
        <x:v>Hixson Data Center</x:v>
      </x:c>
      <x:c r="D24" s="23" t="str">
        <x:v>Hixson Data Center</x:v>
      </x:c>
      <x:c r="E24" s="23" t="str">
        <x:v>191 Industrial Dr vicinity</x:v>
      </x:c>
      <x:c r="F24" s="17" t="str">
        <x:v>McMinnville</x:v>
      </x:c>
      <x:c r="G24" s="26" t="str">
        <x:v>Warren</x:v>
      </x:c>
      <x:c r="H24" s="17" t="str">
        <x:v>TN</x:v>
      </x:c>
      <x:c r="I24" s="17" t="str">
        <x:v>37110</x:v>
      </x:c>
      <x:c r="J24" s="29" t="n">
        <x:v>35.718937</x:v>
      </x:c>
      <x:c r="K24" s="29" t="n">
        <x:v>-85.83887</x:v>
      </x:c>
      <x:c r="L24" s="17" t="str">
        <x:v>approximate_site</x:v>
      </x:c>
      <x:c r="M24" s="17" t="str">
        <x:v>medium</x:v>
      </x:c>
      <x:c r="N24" s="23" t="str">
        <x:v>fractracker:1780024884691-1880</x:v>
      </x:c>
      <x:c r="O24" s="88" t="n">
        <x:v>7.3696</x:v>
      </x:c>
      <x:c r="P24" s="77" t="b">
        <x:v>1</x:v>
      </x:c>
      <x:c r="Q24" s="17" t="str">
        <x:v>proposed</x:v>
      </x:c>
      <x:c r="R24" s="17" t="str">
        <x:v>proposed</x:v>
      </x:c>
      <x:c r="S24" s="77" t="b">
        <x:v>0</x:v>
      </x:c>
      <x:c r="T24" s="17" t="str">
        <x:v>data_center</x:v>
      </x:c>
      <x:c r="U24" s="17" t="str">
        <x:v>data_center</x:v>
      </x:c>
      <x:c r="V24" s="17" t="str">
        <x:v>core_data_center</x:v>
      </x:c>
      <x:c r="W24" s="91" t="n">
        <x:v>25</x:v>
      </x:c>
      <x:c r="X24" s="91" t="n">
        <x:v>96065</x:v>
      </x:c>
      <x:c r="Y24" s="91"/>
      <x:c r="Z24" s="35"/>
      <x:c r="AA24" s="17" t="str">
        <x:v>compute_atlas | fractracker</x:v>
      </x:c>
      <x:c r="AB24" s="94" t="n">
        <x:v>2</x:v>
      </x:c>
      <x:c r="AC24" s="94" t="n">
        <x:v>2</x:v>
      </x:c>
      <x:c r="AD24" s="23" t="str">
        <x:v>compute_atlas:hixson-data-center-mcminnville-tn | fractracker:1780024884691-1880</x:v>
      </x:c>
      <x:c r="AE24" s="23" t="str">
        <x:v>https://baxtel.com/news/25mw-ai-data-center-planned-for-mcminnville | https://www.wsmv.com/2026/06/01/amid-plans-new-high-density-ai-data-center-campus-middle-tennessee-city-locals-push-moratorium-such-facilities/ | https://hixsondc.com/ | https://warrencountyecd.com/site/mcminnville-warren-digital-site/ | https://www.datacenterdynamics.com/en/news/25mw-ai-data-center-to-be-built-in-mcminnville-tennessee/ | https://warrencountyway.com/hixson-data-center-development-project/</x:v>
      </x:c>
      <x:c r="AF24" s="128" t="str">
        <x:v>2026-09-07</x:v>
      </x:c>
      <x:c r="AG24" s="85" t="str">
        <x:v>confirmed</x:v>
      </x:c>
      <x:c r="AH24" s="85" t="str">
        <x:v>identified</x:v>
      </x:c>
      <x:c r="AI24" s="96" t="n">
        <x:v>5</x:v>
      </x:c>
      <x:c r="AJ24" s="86" t="b">
        <x:v>1</x:v>
      </x:c>
      <x:c r="AK24" s="96" t="n">
        <x:v>62</x:v>
      </x:c>
      <x:c r="AL24" s="85" t="str">
        <x:v>medium</x:v>
      </x:c>
      <x:c r="AM24" s="85" t="str">
        <x:v>Hixson's current site confirms a planned 25 MW McMinnville/Warren County project but does not publish a parcel or street address. Local reporting supports only a vicinity near 191 Industrial Dr; retain this point solely as approximate_site, not as an exact parcel.</x:v>
      </x:c>
      <x:c r="AN24" s="85" t="str">
        <x:v>1.1</x:v>
      </x:c>
      <x:c r="AO24" s="85" t="str">
        <x:v>2026-09-03-deduplicated</x:v>
      </x:c>
    </x:row>
    <x:row r="25" ht="30" hidden="0" customHeight="1">
      <x:c r="A25" s="16" t="str">
        <x:v>TNDC-024</x:v>
      </x:c>
      <x:c r="B25" s="23" t="str">
        <x:v>Litewire McMinnville (former A.O. Smith Building)</x:v>
      </x:c>
      <x:c r="C25" s="23" t="str">
        <x:v>Litewire</x:v>
      </x:c>
      <x:c r="D25" s="23" t="str">
        <x:v>Litewire</x:v>
      </x:c>
      <x:c r="E25" s="23" t="str">
        <x:v>204 Red Rd, Ste 200</x:v>
      </x:c>
      <x:c r="F25" s="17" t="str">
        <x:v>McMinnville</x:v>
      </x:c>
      <x:c r="G25" s="26" t="str">
        <x:v>Warren</x:v>
      </x:c>
      <x:c r="H25" s="17" t="str">
        <x:v>TN</x:v>
      </x:c>
      <x:c r="I25" s="17" t="str">
        <x:v>37110</x:v>
      </x:c>
      <x:c r="J25" s="29" t="n">
        <x:v>35.69221</x:v>
      </x:c>
      <x:c r="K25" s="29" t="n">
        <x:v>-85.7619</x:v>
      </x:c>
      <x:c r="L25" s="17" t="str">
        <x:v>exact</x:v>
      </x:c>
      <x:c r="M25" s="17" t="str">
        <x:v>high</x:v>
      </x:c>
      <x:c r="N25" s="23" t="str">
        <x:v>compute_atlas:litewire-mcminnville-tn</x:v>
      </x:c>
      <x:c r="O25" s="88"/>
      <x:c r="P25" s="77" t="b">
        <x:v>0</x:v>
      </x:c>
      <x:c r="Q25" s="17" t="str">
        <x:v>operational</x:v>
      </x:c>
      <x:c r="R25" s="17" t="str">
        <x:v>operational</x:v>
      </x:c>
      <x:c r="S25" s="77" t="b">
        <x:v>0</x:v>
      </x:c>
      <x:c r="T25" s="17" t="str">
        <x:v>data_center</x:v>
      </x:c>
      <x:c r="U25" s="17" t="str">
        <x:v>data_center</x:v>
      </x:c>
      <x:c r="V25" s="17" t="str">
        <x:v>core_data_center</x:v>
      </x:c>
      <x:c r="W25" s="91"/>
      <x:c r="X25" s="91"/>
      <x:c r="Y25" s="91"/>
      <x:c r="Z25" s="35"/>
      <x:c r="AA25" s="17" t="str">
        <x:v>compute_atlas | tn_ecd</x:v>
      </x:c>
      <x:c r="AB25" s="94" t="n">
        <x:v>2</x:v>
      </x:c>
      <x:c r="AC25" s="94" t="n">
        <x:v>2</x:v>
      </x:c>
      <x:c r="AD25" s="23" t="str">
        <x:v>compute_atlas:litewire-mcminnville-tn | tnecd:litewire-20150715</x:v>
      </x:c>
      <x:c r="AE25" s="23" t="str">
        <x:v>https://tnecd.com/news/litewire-llc-to-open-new-facility-in-warren-county/ | https://www.newschannel5.com/news/how-big-are-middle-tennessees-data-centers-a-look-at-facilities-already-operating | https://www.tn.gov/ecd/news/2015/7/15/litewire-llc-to-open-new-facility-in-warren-county.html</x:v>
      </x:c>
      <x:c r="AF25" s="128" t="str">
        <x:v>2026-09-03</x:v>
      </x:c>
      <x:c r="AG25" s="85" t="str">
        <x:v>confirmed</x:v>
      </x:c>
      <x:c r="AH25" s="85" t="str">
        <x:v>identified</x:v>
      </x:c>
      <x:c r="AI25" s="96" t="n">
        <x:v>3</x:v>
      </x:c>
      <x:c r="AJ25" s="86" t="b">
        <x:v>1</x:v>
      </x:c>
      <x:c r="AK25" s="96" t="n">
        <x:v>100</x:v>
      </x:c>
      <x:c r="AL25" s="85" t="str">
        <x:v>high</x:v>
      </x:c>
      <x:c r="AM25" s="85" t="str">
        <x:v>Cross-verified facility record; unresolved values remain null rather than inferred.</x:v>
      </x:c>
      <x:c r="AN25" s="85" t="str">
        <x:v>1.1</x:v>
      </x:c>
      <x:c r="AO25" s="85" t="str">
        <x:v>2026-09-03-deduplicated</x:v>
      </x:c>
    </x:row>
    <x:row r="26" ht="30" hidden="0" customHeight="1">
      <x:c r="A26" s="16" t="str">
        <x:v>TNDC-026</x:v>
      </x:c>
      <x:c r="B26" s="23" t="str">
        <x:v>DataBank Memphis (MEM1)</x:v>
      </x:c>
      <x:c r="C26" s="23" t="str">
        <x:v>DataBank</x:v>
      </x:c>
      <x:c r="D26" s="23" t="str">
        <x:v>DataBank | DataBank, Ltd.</x:v>
      </x:c>
      <x:c r="E26" s="23" t="str">
        <x:v>7620 Appling Center Dr</x:v>
      </x:c>
      <x:c r="F26" s="17" t="str">
        <x:v>Memphis</x:v>
      </x:c>
      <x:c r="G26" s="26" t="str">
        <x:v>Shelby</x:v>
      </x:c>
      <x:c r="H26" s="17" t="str">
        <x:v>TN</x:v>
      </x:c>
      <x:c r="I26" s="17" t="str">
        <x:v>38133</x:v>
      </x:c>
      <x:c r="J26" s="29" t="n">
        <x:v>35.203086</x:v>
      </x:c>
      <x:c r="K26" s="29" t="n">
        <x:v>-89.808615</x:v>
      </x:c>
      <x:c r="L26" s="17" t="str">
        <x:v>address_or_site</x:v>
      </x:c>
      <x:c r="M26" s="17" t="str">
        <x:v>high</x:v>
      </x:c>
      <x:c r="N26" s="23" t="str">
        <x:v>peeringdb:2958</x:v>
      </x:c>
      <x:c r="O26" s="88" t="n">
        <x:v>0.1188</x:v>
      </x:c>
      <x:c r="P26" s="77" t="b">
        <x:v>0</x:v>
      </x:c>
      <x:c r="Q26" s="17" t="str">
        <x:v>operational</x:v>
      </x:c>
      <x:c r="R26" s="17" t="str">
        <x:v>operational</x:v>
      </x:c>
      <x:c r="S26" s="77" t="b">
        <x:v>0</x:v>
      </x:c>
      <x:c r="T26" s="17" t="str">
        <x:v>data_center</x:v>
      </x:c>
      <x:c r="U26" s="17" t="str">
        <x:v>data_center | interconnection_facility</x:v>
      </x:c>
      <x:c r="V26" s="17" t="str">
        <x:v>core_data_center</x:v>
      </x:c>
      <x:c r="W26" s="91"/>
      <x:c r="X26" s="91"/>
      <x:c r="Y26" s="91"/>
      <x:c r="Z26" s="35"/>
      <x:c r="AA26" s="17" t="str">
        <x:v>compute_atlas | peeringdb</x:v>
      </x:c>
      <x:c r="AB26" s="94" t="n">
        <x:v>2</x:v>
      </x:c>
      <x:c r="AC26" s="94" t="n">
        <x:v>2</x:v>
      </x:c>
      <x:c r="AD26" s="23" t="str">
        <x:v>compute_atlas:databank-mem1-memphis-tn | peeringdb:2958</x:v>
      </x:c>
      <x:c r="AE26" s="23" t="str">
        <x:v>https://baxtel.com/data-center/memphis | https://www.databank.com/data-centers/memphis/7620-appling-center-drive/ | https://www.databank.com/data-centers/memphis/mem1/</x:v>
      </x:c>
      <x:c r="AF26" s="128" t="str">
        <x:v>2026-08-15</x:v>
      </x:c>
      <x:c r="AG26" s="85" t="str">
        <x:v>confirmed</x:v>
      </x:c>
      <x:c r="AH26" s="85" t="str">
        <x:v>identified</x:v>
      </x:c>
      <x:c r="AI26" s="96" t="n">
        <x:v>2</x:v>
      </x:c>
      <x:c r="AJ26" s="86" t="b">
        <x:v>1</x:v>
      </x:c>
      <x:c r="AK26" s="96" t="n">
        <x:v>91</x:v>
      </x:c>
      <x:c r="AL26" s="85" t="str">
        <x:v>high</x:v>
      </x:c>
      <x:c r="AM26" s="85" t="str">
        <x:v>Cross-verified facility record; unresolved values remain null rather than inferred.</x:v>
      </x:c>
      <x:c r="AN26" s="85" t="str">
        <x:v>1.1</x:v>
      </x:c>
      <x:c r="AO26" s="85" t="str">
        <x:v>2026-09-03-deduplicated</x:v>
      </x:c>
    </x:row>
    <x:row r="27" ht="30" hidden="0" customHeight="1">
      <x:c r="A27" s="16" t="str">
        <x:v>TNDC-027</x:v>
      </x:c>
      <x:c r="B27" s="23" t="str">
        <x:v>EdgeConneX Memphis (EDCMEM01)</x:v>
      </x:c>
      <x:c r="C27" s="23" t="str">
        <x:v>EdgeConneX Inc.</x:v>
      </x:c>
      <x:c r="D27" s="23" t="str">
        <x:v>EdgeConneX Inc.</x:v>
      </x:c>
      <x:c r="E27" s="23" t="str">
        <x:v>4005 S Mendenhall Rd</x:v>
      </x:c>
      <x:c r="F27" s="17" t="str">
        <x:v>Memphis</x:v>
      </x:c>
      <x:c r="G27" s="26" t="str">
        <x:v>Shelby</x:v>
      </x:c>
      <x:c r="H27" s="17" t="str">
        <x:v>TN</x:v>
      </x:c>
      <x:c r="I27" s="17" t="str">
        <x:v>38115</x:v>
      </x:c>
      <x:c r="J27" s="29" t="n">
        <x:v>35.038995</x:v>
      </x:c>
      <x:c r="K27" s="29" t="n">
        <x:v>-89.88623</x:v>
      </x:c>
      <x:c r="L27" s="17" t="str">
        <x:v>address_or_site</x:v>
      </x:c>
      <x:c r="M27" s="17" t="str">
        <x:v>high</x:v>
      </x:c>
      <x:c r="N27" s="23" t="str">
        <x:v>peeringdb:1930</x:v>
      </x:c>
      <x:c r="O27" s="88"/>
      <x:c r="P27" s="77" t="b">
        <x:v>0</x:v>
      </x:c>
      <x:c r="Q27" s="17" t="str">
        <x:v>operational</x:v>
      </x:c>
      <x:c r="R27" s="17" t="str">
        <x:v>operational</x:v>
      </x:c>
      <x:c r="S27" s="77" t="b">
        <x:v>0</x:v>
      </x:c>
      <x:c r="T27" s="17" t="str">
        <x:v>interconnection_facility</x:v>
      </x:c>
      <x:c r="U27" s="17" t="str">
        <x:v>interconnection_facility</x:v>
      </x:c>
      <x:c r="V27" s="17" t="str">
        <x:v>core_data_center</x:v>
      </x:c>
      <x:c r="W27" s="91"/>
      <x:c r="X27" s="91"/>
      <x:c r="Y27" s="91"/>
      <x:c r="Z27" s="35"/>
      <x:c r="AA27" s="17" t="str">
        <x:v>peeringdb | edgeconnex_official</x:v>
      </x:c>
      <x:c r="AB27" s="94" t="n">
        <x:v>2</x:v>
      </x:c>
      <x:c r="AC27" s="94" t="n">
        <x:v>2</x:v>
      </x:c>
      <x:c r="AD27" s="23" t="str">
        <x:v>peeringdb:1930 | edgeconnex:mem01-datasheet</x:v>
      </x:c>
      <x:c r="AE27" s="23" t="str">
        <x:v>http://www.edgeconnex.com | https://www.edgeconnex.com/wp-content/uploads/2023/06/ECX-22-39-MEMPHIS-2023-DATA-SHEET-V3.pdf | https://www.datacentermap.com/usa/tennessee/memphis/edgeconnex-edcmem01/specs/</x:v>
      </x:c>
      <x:c r="AF27" s="128" t="str">
        <x:v>2026-09-03</x:v>
      </x:c>
      <x:c r="AG27" s="85" t="str">
        <x:v>confirmed</x:v>
      </x:c>
      <x:c r="AH27" s="85" t="str">
        <x:v>identified</x:v>
      </x:c>
      <x:c r="AI27" s="96" t="n">
        <x:v>2</x:v>
      </x:c>
      <x:c r="AJ27" s="86" t="b">
        <x:v>1</x:v>
      </x:c>
      <x:c r="AK27" s="96" t="n">
        <x:v>91</x:v>
      </x:c>
      <x:c r="AL27" s="85" t="str">
        <x:v>high</x:v>
      </x:c>
      <x:c r="AM27" s="85" t="str">
        <x:v>Cross-verified facility record; unresolved values remain null rather than inferred.</x:v>
      </x:c>
      <x:c r="AN27" s="85" t="str">
        <x:v>1.1</x:v>
      </x:c>
      <x:c r="AO27" s="85" t="str">
        <x:v>2026-09-03-deduplicated</x:v>
      </x:c>
    </x:row>
    <x:row r="28" ht="30" hidden="0" customHeight="1">
      <x:c r="A28" s="16" t="str">
        <x:v>TNDC-028</x:v>
      </x:c>
      <x:c r="B28" s="23" t="str">
        <x:v>Expedient Memphis</x:v>
      </x:c>
      <x:c r="C28" s="23" t="str">
        <x:v>Expedient</x:v>
      </x:c>
      <x:c r="D28" s="23" t="str">
        <x:v>Expedient | Sentinel Data Centers</x:v>
      </x:c>
      <x:c r="E28" s="23" t="str">
        <x:v>3180 Players Lane</x:v>
      </x:c>
      <x:c r="F28" s="17" t="str">
        <x:v>Memphis</x:v>
      </x:c>
      <x:c r="G28" s="26" t="str">
        <x:v>Shelby</x:v>
      </x:c>
      <x:c r="H28" s="17" t="str">
        <x:v>TN</x:v>
      </x:c>
      <x:c r="I28" s="17" t="str">
        <x:v>38125</x:v>
      </x:c>
      <x:c r="J28" s="29" t="n">
        <x:v>35.062965</x:v>
      </x:c>
      <x:c r="K28" s="29" t="n">
        <x:v>-89.786143</x:v>
      </x:c>
      <x:c r="L28" s="17" t="str">
        <x:v>address_or_site</x:v>
      </x:c>
      <x:c r="M28" s="17" t="str">
        <x:v>high</x:v>
      </x:c>
      <x:c r="N28" s="23" t="str">
        <x:v>peeringdb:8473</x:v>
      </x:c>
      <x:c r="O28" s="88"/>
      <x:c r="P28" s="77" t="b">
        <x:v>0</x:v>
      </x:c>
      <x:c r="Q28" s="17" t="str">
        <x:v>operational</x:v>
      </x:c>
      <x:c r="R28" s="17" t="str">
        <x:v>operational</x:v>
      </x:c>
      <x:c r="S28" s="77" t="b">
        <x:v>0</x:v>
      </x:c>
      <x:c r="T28" s="17" t="str">
        <x:v>interconnection_facility</x:v>
      </x:c>
      <x:c r="U28" s="17" t="str">
        <x:v>interconnection_facility</x:v>
      </x:c>
      <x:c r="V28" s="17" t="str">
        <x:v>core_data_center</x:v>
      </x:c>
      <x:c r="W28" s="91" t="n">
        <x:v>1.5</x:v>
      </x:c>
      <x:c r="X28" s="91" t="n">
        <x:v>35000</x:v>
      </x:c>
      <x:c r="Y28" s="91" t="n">
        <x:v>7.4</x:v>
      </x:c>
      <x:c r="Z28" s="35"/>
      <x:c r="AA28" s="17" t="str">
        <x:v>peeringdb | expedient_official | baxtel.com</x:v>
      </x:c>
      <x:c r="AB28" s="94" t="n">
        <x:v>3</x:v>
      </x:c>
      <x:c r="AC28" s="94" t="n">
        <x:v>3</x:v>
      </x:c>
      <x:c r="AD28" s="23" t="str">
        <x:v>peeringdb:8473 | expedient:mem1 | verification:tndc-028-update:01</x:v>
      </x:c>
      <x:c r="AE28" s="23" t="str">
        <x:v>https://www.expedient.com/data-centers/ | https://www.expedient.com/data-centers/memphis/ | https://www.datacentermap.com/usa/tennessee/memphis/expedient-memphis/ | https://baxtel.com/data-center/sentinel-memphis-tn-1</x:v>
      </x:c>
      <x:c r="AF28" s="128" t="str">
        <x:v>2026-09-03</x:v>
      </x:c>
      <x:c r="AG28" s="85" t="str">
        <x:v>confirmed</x:v>
      </x:c>
      <x:c r="AH28" s="85" t="str">
        <x:v>identified</x:v>
      </x:c>
      <x:c r="AI28" s="96" t="n">
        <x:v>3</x:v>
      </x:c>
      <x:c r="AJ28" s="86" t="b">
        <x:v>1</x:v>
      </x:c>
      <x:c r="AK28" s="96" t="n">
        <x:v>91</x:v>
      </x:c>
      <x:c r="AL28" s="85" t="str">
        <x:v>high</x:v>
      </x:c>
      <x:c r="AM28" s="85" t="str">
        <x:v>Sentinel's Memphis facility and Expedient Memphis share the 3180 Players Lane address; historical/current operators are consolidated into one physical-site record.</x:v>
      </x:c>
      <x:c r="AN28" s="85" t="str">
        <x:v>1.1</x:v>
      </x:c>
      <x:c r="AO28" s="85" t="str">
        <x:v>2026-09-03-deduplicated</x:v>
      </x:c>
    </x:row>
    <x:row r="29" ht="30" hidden="0" customHeight="1">
      <x:c r="A29" s="16" t="str">
        <x:v>TNDC-029</x:v>
      </x:c>
      <x:c r="B29" s="23" t="str">
        <x:v>Level(3) Memphis</x:v>
      </x:c>
      <x:c r="C29" s="23" t="str">
        <x:v>Lumen Technologies Inc</x:v>
      </x:c>
      <x:c r="D29" s="23" t="str">
        <x:v>Lumen Technologies Inc</x:v>
      </x:c>
      <x:c r="E29" s="23" t="str">
        <x:v>3993 Crowfarn Drive</x:v>
      </x:c>
      <x:c r="F29" s="17" t="str">
        <x:v>Memphis</x:v>
      </x:c>
      <x:c r="G29" s="26" t="str">
        <x:v>Shelby</x:v>
      </x:c>
      <x:c r="H29" s="17" t="str">
        <x:v>TN</x:v>
      </x:c>
      <x:c r="I29" s="17" t="str">
        <x:v>38118-7326</x:v>
      </x:c>
      <x:c r="J29" s="29" t="n">
        <x:v>35.028826</x:v>
      </x:c>
      <x:c r="K29" s="29" t="n">
        <x:v>-89.930755</x:v>
      </x:c>
      <x:c r="L29" s="17" t="str">
        <x:v>address_or_site</x:v>
      </x:c>
      <x:c r="M29" s="17" t="str">
        <x:v>high</x:v>
      </x:c>
      <x:c r="N29" s="23" t="str">
        <x:v>peeringdb:1294</x:v>
      </x:c>
      <x:c r="O29" s="88"/>
      <x:c r="P29" s="77" t="b">
        <x:v>0</x:v>
      </x:c>
      <x:c r="Q29" s="17" t="str">
        <x:v>operational</x:v>
      </x:c>
      <x:c r="R29" s="17" t="str">
        <x:v>operational</x:v>
      </x:c>
      <x:c r="S29" s="77" t="b">
        <x:v>0</x:v>
      </x:c>
      <x:c r="T29" s="17" t="str">
        <x:v>interconnection_facility</x:v>
      </x:c>
      <x:c r="U29" s="17" t="str">
        <x:v>interconnection_facility</x:v>
      </x:c>
      <x:c r="V29" s="17" t="str">
        <x:v>core_data_center</x:v>
      </x:c>
      <x:c r="W29" s="91"/>
      <x:c r="X29" s="91"/>
      <x:c r="Y29" s="91"/>
      <x:c r="Z29" s="35"/>
      <x:c r="AA29" s="17" t="str">
        <x:v>peeringdb | datacentermap</x:v>
      </x:c>
      <x:c r="AB29" s="94" t="n">
        <x:v>2</x:v>
      </x:c>
      <x:c r="AC29" s="94" t="n">
        <x:v>2</x:v>
      </x:c>
      <x:c r="AD29" s="23" t="str">
        <x:v>peeringdb:1294 | datacentermap:lumen-memphis1</x:v>
      </x:c>
      <x:c r="AE29" s="23" t="str">
        <x:v>http://www.level3.com | https://www.datacentermap.com/usa/tennessee/memphis/level3-memphis1/</x:v>
      </x:c>
      <x:c r="AF29" s="128" t="str">
        <x:v>2026-09-03</x:v>
      </x:c>
      <x:c r="AG29" s="85" t="str">
        <x:v>confirmed</x:v>
      </x:c>
      <x:c r="AH29" s="85" t="str">
        <x:v>identified</x:v>
      </x:c>
      <x:c r="AI29" s="96" t="n">
        <x:v>2</x:v>
      </x:c>
      <x:c r="AJ29" s="86" t="b">
        <x:v>1</x:v>
      </x:c>
      <x:c r="AK29" s="96" t="n">
        <x:v>91</x:v>
      </x:c>
      <x:c r="AL29" s="85" t="str">
        <x:v>high</x:v>
      </x:c>
      <x:c r="AM29" s="85" t="str">
        <x:v>Cross-verified facility record; unresolved values remain null rather than inferred.</x:v>
      </x:c>
      <x:c r="AN29" s="85" t="str">
        <x:v>1.1</x:v>
      </x:c>
      <x:c r="AO29" s="85" t="str">
        <x:v>2026-09-03-deduplicated</x:v>
      </x:c>
    </x:row>
    <x:row r="30" ht="30" hidden="0" customHeight="1">
      <x:c r="A30" s="16" t="str">
        <x:v>TNDC-030</x:v>
      </x:c>
      <x:c r="B30" s="23" t="str">
        <x:v>xAI Colossus 1</x:v>
      </x:c>
      <x:c r="C30" s="23" t="str">
        <x:v>xAI</x:v>
      </x:c>
      <x:c r="D30" s="23" t="str">
        <x:v>xAI</x:v>
      </x:c>
      <x:c r="E30" s="23" t="str">
        <x:v>3231 Riverport Rd/ Paul Lowry Rd</x:v>
      </x:c>
      <x:c r="F30" s="17" t="str">
        <x:v>Memphis</x:v>
      </x:c>
      <x:c r="G30" s="26" t="str">
        <x:v>Shelby</x:v>
      </x:c>
      <x:c r="H30" s="17" t="str">
        <x:v>TN</x:v>
      </x:c>
      <x:c r="I30" s="17" t="str">
        <x:v>38109</x:v>
      </x:c>
      <x:c r="J30" s="29" t="n">
        <x:v>35.05983</x:v>
      </x:c>
      <x:c r="K30" s="29" t="n">
        <x:v>-90.1562</x:v>
      </x:c>
      <x:c r="L30" s="17" t="str">
        <x:v>address_or_site</x:v>
      </x:c>
      <x:c r="M30" s="17" t="str">
        <x:v>high</x:v>
      </x:c>
      <x:c r="N30" s="23" t="str">
        <x:v>fractracker:499</x:v>
      </x:c>
      <x:c r="O30" s="88"/>
      <x:c r="P30" s="77" t="b">
        <x:v>0</x:v>
      </x:c>
      <x:c r="Q30" s="17" t="str">
        <x:v>operational</x:v>
      </x:c>
      <x:c r="R30" s="17" t="str">
        <x:v>operational</x:v>
      </x:c>
      <x:c r="S30" s="77" t="b">
        <x:v>0</x:v>
      </x:c>
      <x:c r="T30" s="17" t="str">
        <x:v>data_center</x:v>
      </x:c>
      <x:c r="U30" s="17" t="str">
        <x:v>data_center</x:v>
      </x:c>
      <x:c r="V30" s="17" t="str">
        <x:v>core_data_center</x:v>
      </x:c>
      <x:c r="W30" s="91" t="n">
        <x:v>498</x:v>
      </x:c>
      <x:c r="X30" s="91"/>
      <x:c r="Y30" s="91"/>
      <x:c r="Z30" s="35"/>
      <x:c r="AA30" s="17" t="str">
        <x:v>fractracker | datacenterdynamics</x:v>
      </x:c>
      <x:c r="AB30" s="94" t="n">
        <x:v>2</x:v>
      </x:c>
      <x:c r="AC30" s="94" t="n">
        <x:v>2</x:v>
      </x:c>
      <x:c r="AD30" s="23" t="str">
        <x:v>fractracker:499 | dcd:xai-colossus1</x:v>
      </x:c>
      <x:c r="AE30" s="23" t="str">
        <x:v>https://epoch.ai/data/data-centers/satellite-explorer/xAIColossus1MemphisTennessee?ref=404media.co | https://www.datacenterdynamics.com/en/news/xai-removes-some-of-controversial-gas-turbines-from-memphis-data-center/ | https://www.selc.org/news/xai-built-an-illegal-power-plant-to-power-its-data-center/</x:v>
      </x:c>
      <x:c r="AF30" s="128" t="str">
        <x:v>2026-09-03</x:v>
      </x:c>
      <x:c r="AG30" s="85" t="str">
        <x:v>confirmed</x:v>
      </x:c>
      <x:c r="AH30" s="85" t="str">
        <x:v>identified</x:v>
      </x:c>
      <x:c r="AI30" s="96" t="n">
        <x:v>3</x:v>
      </x:c>
      <x:c r="AJ30" s="86" t="b">
        <x:v>1</x:v>
      </x:c>
      <x:c r="AK30" s="96" t="n">
        <x:v>98</x:v>
      </x:c>
      <x:c r="AL30" s="85" t="str">
        <x:v>high</x:v>
      </x:c>
      <x:c r="AM30" s="85" t="str">
        <x:v>Cross-verified facility record; unresolved values remain null rather than inferred.</x:v>
      </x:c>
      <x:c r="AN30" s="85" t="str">
        <x:v>1.1</x:v>
      </x:c>
      <x:c r="AO30" s="85" t="str">
        <x:v>2026-09-03-deduplicated</x:v>
      </x:c>
    </x:row>
    <x:row r="31" ht="30" hidden="0" customHeight="1">
      <x:c r="A31" s="16" t="str">
        <x:v>TNDC-031</x:v>
      </x:c>
      <x:c r="B31" s="23" t="str">
        <x:v>xAI Colossus 2</x:v>
      </x:c>
      <x:c r="C31" s="23" t="str">
        <x:v>xAI</x:v>
      </x:c>
      <x:c r="D31" s="23" t="str">
        <x:v>xAI</x:v>
      </x:c>
      <x:c r="E31" s="23" t="str">
        <x:v>5414–5420 Tulane Rd</x:v>
      </x:c>
      <x:c r="F31" s="17" t="str">
        <x:v>Memphis</x:v>
      </x:c>
      <x:c r="G31" s="26" t="str">
        <x:v>Shelby</x:v>
      </x:c>
      <x:c r="H31" s="17" t="str">
        <x:v>TN</x:v>
      </x:c>
      <x:c r="I31" s="17" t="str">
        <x:v>38109</x:v>
      </x:c>
      <x:c r="J31" s="29" t="n">
        <x:v>34.998074</x:v>
      </x:c>
      <x:c r="K31" s="29" t="n">
        <x:v>-90.03507</x:v>
      </x:c>
      <x:c r="L31" s="17" t="str">
        <x:v>address_or_site</x:v>
      </x:c>
      <x:c r="M31" s="17" t="str">
        <x:v>high</x:v>
      </x:c>
      <x:c r="N31" s="23" t="str">
        <x:v>fractracker:500</x:v>
      </x:c>
      <x:c r="O31" s="88"/>
      <x:c r="P31" s="77" t="b">
        <x:v>0</x:v>
      </x:c>
      <x:c r="Q31" s="17" t="str">
        <x:v>expanding</x:v>
      </x:c>
      <x:c r="R31" s="17" t="str">
        <x:v>expanding</x:v>
      </x:c>
      <x:c r="S31" s="77" t="b">
        <x:v>0</x:v>
      </x:c>
      <x:c r="T31" s="17" t="str">
        <x:v>data_center</x:v>
      </x:c>
      <x:c r="U31" s="17" t="str">
        <x:v>data_center</x:v>
      </x:c>
      <x:c r="V31" s="17" t="str">
        <x:v>core_data_center</x:v>
      </x:c>
      <x:c r="W31" s="91" t="n">
        <x:v>1400</x:v>
      </x:c>
      <x:c r="X31" s="91" t="n">
        <x:v>1000000</x:v>
      </x:c>
      <x:c r="Y31" s="91"/>
      <x:c r="Z31" s="35" t="n">
        <x:v>659000000</x:v>
      </x:c>
      <x:c r="AA31" s="17" t="str">
        <x:v>fractracker | datacenterdynamics | bizjournals.com | memphistn.gov</x:v>
      </x:c>
      <x:c r="AB31" s="94" t="n">
        <x:v>4</x:v>
      </x:c>
      <x:c r="AC31" s="94" t="n">
        <x:v>4</x:v>
      </x:c>
      <x:c r="AD31" s="23" t="str">
        <x:v>fractracker:500 | dcd:xai-colossus2 | verification:tndc-031-update:01 | verification:tndc-031-update:02</x:v>
      </x:c>
      <x:c r="AE31" s="23" t="str">
        <x:v>https://epoch.ai/data/data-centers/satellite-explorer/xAIColossus2MemphisTennessee?ref=404media.co | https://www.datacenterdynamics.com/en/news/elon-musks-xai-buys-one-million-sq-ft-site-for-second-memphis-data-center/ | https://www.datacenterdynamics.com/en/news/elon-musks-xai-to-spend-659m-on-new-building-for-memphis-data-center-cluster/ | https://www.datacenterdynamics.com/en/news/musk-confirms-fourth-spacexai-data-center-in-memphis-company-starts-removing-illegal-gas-turbines/ | https://www.selc.org/news/xai-built-an-illegal-power-plant-to-power-its-data-center/ | https://www.tomshardware.com/tech-industry/artificial-intelligence/elon-musk-xai-power-plant-overseas-to-power-1-million-gpus | https://www.bizjournals.com/memphis/news/2026/03/03/xai-colossus-2-campus-5414-tulane-building.html | https://memphistn.gov/wp-content/uploads/2025/03/Revised-Agenda-02-18-2025.pdf</x:v>
      </x:c>
      <x:c r="AF31" s="128" t="str">
        <x:v>2026-09-03</x:v>
      </x:c>
      <x:c r="AG31" s="85" t="str">
        <x:v>confirmed</x:v>
      </x:c>
      <x:c r="AH31" s="85" t="str">
        <x:v>identified</x:v>
      </x:c>
      <x:c r="AI31" s="96" t="n">
        <x:v>6</x:v>
      </x:c>
      <x:c r="AJ31" s="86" t="b">
        <x:v>1</x:v>
      </x:c>
      <x:c r="AK31" s="96" t="n">
        <x:v>98</x:v>
      </x:c>
      <x:c r="AL31" s="85" t="str">
        <x:v>high</x:v>
      </x:c>
      <x:c r="AM31" s="85" t="str">
        <x:v>Adjacent 5414 and 5420 Tulane records are treated as one Colossus 2 campus; $659 million is a disclosed building investment, not total campus cost.</x:v>
      </x:c>
      <x:c r="AN31" s="85" t="str">
        <x:v>1.1</x:v>
      </x:c>
      <x:c r="AO31" s="85" t="str">
        <x:v>2026-09-03-deduplicated</x:v>
      </x:c>
    </x:row>
    <x:row r="32" ht="30" hidden="0" customHeight="1">
      <x:c r="A32" s="16" t="str">
        <x:v>TNDC-032</x:v>
      </x:c>
      <x:c r="B32" s="23" t="str">
        <x:v>DC BLOX Nashville (Grassmere Park)</x:v>
      </x:c>
      <x:c r="C32" s="23" t="str">
        <x:v>DC BLOX</x:v>
      </x:c>
      <x:c r="D32" s="23" t="str">
        <x:v>DC BLOX</x:v>
      </x:c>
      <x:c r="E32" s="23" t="str">
        <x:v>648 Grassmere Park</x:v>
      </x:c>
      <x:c r="F32" s="17" t="str">
        <x:v>Nashville</x:v>
      </x:c>
      <x:c r="G32" s="26" t="str">
        <x:v>Davidson</x:v>
      </x:c>
      <x:c r="H32" s="17" t="str">
        <x:v>TN</x:v>
      </x:c>
      <x:c r="I32" s="17" t="str">
        <x:v>37211</x:v>
      </x:c>
      <x:c r="J32" s="29" t="n">
        <x:v>36.090492</x:v>
      </x:c>
      <x:c r="K32" s="29" t="n">
        <x:v>-86.74721</x:v>
      </x:c>
      <x:c r="L32" s="17" t="str">
        <x:v>address_or_site</x:v>
      </x:c>
      <x:c r="M32" s="17" t="str">
        <x:v>high</x:v>
      </x:c>
      <x:c r="N32" s="23" t="str">
        <x:v>fractracker:1780860040054-4476</x:v>
      </x:c>
      <x:c r="O32" s="88" t="n">
        <x:v>0.47</x:v>
      </x:c>
      <x:c r="P32" s="77" t="b">
        <x:v>0</x:v>
      </x:c>
      <x:c r="Q32" s="17" t="str">
        <x:v>proposed</x:v>
      </x:c>
      <x:c r="R32" s="17" t="str">
        <x:v>proposed</x:v>
      </x:c>
      <x:c r="S32" s="77" t="b">
        <x:v>0</x:v>
      </x:c>
      <x:c r="T32" s="17" t="str">
        <x:v>data_center</x:v>
      </x:c>
      <x:c r="U32" s="17" t="str">
        <x:v>data_center</x:v>
      </x:c>
      <x:c r="V32" s="17" t="str">
        <x:v>core_data_center</x:v>
      </x:c>
      <x:c r="W32" s="91"/>
      <x:c r="X32" s="91" t="n">
        <x:v>69220</x:v>
      </x:c>
      <x:c r="Y32" s="91"/>
      <x:c r="Z32" s="35"/>
      <x:c r="AA32" s="17" t="str">
        <x:v>compute_atlas | fractracker</x:v>
      </x:c>
      <x:c r="AB32" s="94" t="n">
        <x:v>2</x:v>
      </x:c>
      <x:c r="AC32" s="94" t="n">
        <x:v>2</x:v>
      </x:c>
      <x:c r="AD32" s="23" t="str">
        <x:v>compute_atlas:dcblox-nashville-grassmere-tn | fractracker:1780860040054-4476</x:v>
      </x:c>
      <x:c r="AE32" s="23" t="str">
        <x:v>https://williamsonsource.com/dc-blox-sues-metro-over-blocked-data-center-project-near-nashville-zoo/ | https://www.wsmv.com/2026/07/22/metro-council-passes-first-data-center-regulations-nashville-heres-what-changes/ | https://www.yahoo.com/news/us/articles/guide-data-centers-tennessee-could-081728521.html | https://www.datacenterdynamics.com/en/news/dc-bloxs-proposed-24-acre-data-center-near-nashville-zoo-could-be-blocked-by-moratorium/ | https://www.wkrn.com/news/local-news/nashville/160k-sign-petition-opposing-data-center-next-nashville-zoo/ | https://www.wsmv.com/2026/06/04/what-know-about-potential-data-center-next-nashville-zoo-facility-launches-petition-against-its-construction-feet-away-one-most-fragile-rare-collections-animals/</x:v>
      </x:c>
      <x:c r="AF32" s="128" t="str">
        <x:v>2026-08-15</x:v>
      </x:c>
      <x:c r="AG32" s="85" t="str">
        <x:v>confirmed</x:v>
      </x:c>
      <x:c r="AH32" s="85" t="str">
        <x:v>identified</x:v>
      </x:c>
      <x:c r="AI32" s="96" t="n">
        <x:v>5</x:v>
      </x:c>
      <x:c r="AJ32" s="86" t="b">
        <x:v>1</x:v>
      </x:c>
      <x:c r="AK32" s="96" t="n">
        <x:v>98</x:v>
      </x:c>
      <x:c r="AL32" s="85" t="str">
        <x:v>high</x:v>
      </x:c>
      <x:c r="AM32" s="85" t="str">
        <x:v>Cross-verified facility record; unresolved values remain null rather than inferred.</x:v>
      </x:c>
      <x:c r="AN32" s="85" t="str">
        <x:v>1.1</x:v>
      </x:c>
      <x:c r="AO32" s="85" t="str">
        <x:v>2026-09-03-deduplicated</x:v>
      </x:c>
    </x:row>
    <x:row r="33" ht="30" hidden="0" customHeight="1">
      <x:c r="A33" s="16" t="str">
        <x:v>TNDC-033</x:v>
      </x:c>
      <x:c r="B33" s="23" t="str">
        <x:v>EdgeConneX Nashville (EDCNAS01)</x:v>
      </x:c>
      <x:c r="C33" s="23" t="str">
        <x:v>EdgeConneX Inc.</x:v>
      </x:c>
      <x:c r="D33" s="23" t="str">
        <x:v>EdgeConneX Inc.</x:v>
      </x:c>
      <x:c r="E33" s="23" t="str">
        <x:v>1841 Air Lane Dr</x:v>
      </x:c>
      <x:c r="F33" s="17" t="str">
        <x:v>Nashville</x:v>
      </x:c>
      <x:c r="G33" s="26" t="str">
        <x:v>Davidson</x:v>
      </x:c>
      <x:c r="H33" s="17" t="str">
        <x:v>TN</x:v>
      </x:c>
      <x:c r="I33" s="17" t="str">
        <x:v>37210</x:v>
      </x:c>
      <x:c r="J33" s="29" t="n">
        <x:v>36.144881</x:v>
      </x:c>
      <x:c r="K33" s="29" t="n">
        <x:v>-86.701721</x:v>
      </x:c>
      <x:c r="L33" s="17" t="str">
        <x:v>address_or_site</x:v>
      </x:c>
      <x:c r="M33" s="17" t="str">
        <x:v>high</x:v>
      </x:c>
      <x:c r="N33" s="23" t="str">
        <x:v>peeringdb:1924</x:v>
      </x:c>
      <x:c r="O33" s="88"/>
      <x:c r="P33" s="77" t="b">
        <x:v>0</x:v>
      </x:c>
      <x:c r="Q33" s="17" t="str">
        <x:v>operational</x:v>
      </x:c>
      <x:c r="R33" s="17" t="str">
        <x:v>operational</x:v>
      </x:c>
      <x:c r="S33" s="77" t="b">
        <x:v>0</x:v>
      </x:c>
      <x:c r="T33" s="17" t="str">
        <x:v>interconnection_facility</x:v>
      </x:c>
      <x:c r="U33" s="17" t="str">
        <x:v>interconnection_facility</x:v>
      </x:c>
      <x:c r="V33" s="17" t="str">
        <x:v>core_data_center</x:v>
      </x:c>
      <x:c r="W33" s="91"/>
      <x:c r="X33" s="91"/>
      <x:c r="Y33" s="91"/>
      <x:c r="Z33" s="35"/>
      <x:c r="AA33" s="17" t="str">
        <x:v>peeringdb | edgeconnex_official</x:v>
      </x:c>
      <x:c r="AB33" s="94" t="n">
        <x:v>2</x:v>
      </x:c>
      <x:c r="AC33" s="94" t="n">
        <x:v>2</x:v>
      </x:c>
      <x:c r="AD33" s="23" t="str">
        <x:v>peeringdb:1924 | edgeconnex:nas01-datasheet</x:v>
      </x:c>
      <x:c r="AE33" s="23" t="str">
        <x:v>http://www.edgeconnex.com | https://static.datacentermap.com/company/edgeconnex/datacenter5546/EDCNAS01%20-%20Data%20Sheet.pdf</x:v>
      </x:c>
      <x:c r="AF33" s="128" t="str">
        <x:v>2026-09-03</x:v>
      </x:c>
      <x:c r="AG33" s="85" t="str">
        <x:v>confirmed</x:v>
      </x:c>
      <x:c r="AH33" s="85" t="str">
        <x:v>identified</x:v>
      </x:c>
      <x:c r="AI33" s="96" t="n">
        <x:v>2</x:v>
      </x:c>
      <x:c r="AJ33" s="86" t="b">
        <x:v>1</x:v>
      </x:c>
      <x:c r="AK33" s="96" t="n">
        <x:v>91</x:v>
      </x:c>
      <x:c r="AL33" s="85" t="str">
        <x:v>high</x:v>
      </x:c>
      <x:c r="AM33" s="85" t="str">
        <x:v>Cross-verified facility record; unresolved values remain null rather than inferred.</x:v>
      </x:c>
      <x:c r="AN33" s="85" t="str">
        <x:v>1.1</x:v>
      </x:c>
      <x:c r="AO33" s="85" t="str">
        <x:v>2026-09-03-deduplicated</x:v>
      </x:c>
    </x:row>
    <x:row r="34" ht="30" hidden="0" customHeight="1">
      <x:c r="A34" s="16" t="str">
        <x:v>TNDC-034</x:v>
      </x:c>
      <x:c r="B34" s="23" t="str">
        <x:v>H5 Data Centers Nashville</x:v>
      </x:c>
      <x:c r="C34" s="23" t="str">
        <x:v>H5 Data Centers</x:v>
      </x:c>
      <x:c r="D34" s="23" t="str">
        <x:v>H5 Data Centers</x:v>
      </x:c>
      <x:c r="E34" s="23" t="str">
        <x:v>147 Fourth Ave</x:v>
      </x:c>
      <x:c r="F34" s="17" t="str">
        <x:v>Nashville</x:v>
      </x:c>
      <x:c r="G34" s="26" t="str">
        <x:v>Davidson</x:v>
      </x:c>
      <x:c r="H34" s="17" t="str">
        <x:v>TN</x:v>
      </x:c>
      <x:c r="I34" s="17" t="str">
        <x:v>37219</x:v>
      </x:c>
      <x:c r="J34" s="29" t="n">
        <x:v>36.1628</x:v>
      </x:c>
      <x:c r="K34" s="29" t="n">
        <x:v>-86.77863</x:v>
      </x:c>
      <x:c r="L34" s="17" t="str">
        <x:v>address_or_site</x:v>
      </x:c>
      <x:c r="M34" s="17" t="str">
        <x:v>high</x:v>
      </x:c>
      <x:c r="N34" s="23" t="str">
        <x:v>fractracker:1772678598263-1520</x:v>
      </x:c>
      <x:c r="O34" s="88" t="n">
        <x:v>0.0197</x:v>
      </x:c>
      <x:c r="P34" s="77" t="b">
        <x:v>0</x:v>
      </x:c>
      <x:c r="Q34" s="17" t="str">
        <x:v>operational</x:v>
      </x:c>
      <x:c r="R34" s="17" t="str">
        <x:v>operational | proposed</x:v>
      </x:c>
      <x:c r="S34" s="77" t="b">
        <x:v>1</x:v>
      </x:c>
      <x:c r="T34" s="17" t="str">
        <x:v>data_center</x:v>
      </x:c>
      <x:c r="U34" s="17" t="str">
        <x:v>data_center | interconnection_facility</x:v>
      </x:c>
      <x:c r="V34" s="17" t="str">
        <x:v>core_data_center</x:v>
      </x:c>
      <x:c r="W34" s="91"/>
      <x:c r="X34" s="91" t="n">
        <x:v>19700</x:v>
      </x:c>
      <x:c r="Y34" s="91"/>
      <x:c r="Z34" s="35"/>
      <x:c r="AA34" s="17" t="str">
        <x:v>fractracker | peeringdb</x:v>
      </x:c>
      <x:c r="AB34" s="94" t="n">
        <x:v>2</x:v>
      </x:c>
      <x:c r="AC34" s="94" t="n">
        <x:v>2</x:v>
      </x:c>
      <x:c r="AD34" s="23" t="str">
        <x:v>fractracker:1772678598263-1520 | peeringdb:561</x:v>
      </x:c>
      <x:c r="AE34" s="23" t="str">
        <x:v>https://h5datacenters.com/nashville-colocation.html | https://www.datacenterdynamics.com/en/news/h5-and-novacap-launch-new-data-center-platform-acquire-three-carrier-hotels-from-365/</x:v>
      </x:c>
      <x:c r="AF34" s="128" t="n">
        <x:v>46085</x:v>
      </x:c>
      <x:c r="AG34" s="85" t="str">
        <x:v>confirmed</x:v>
      </x:c>
      <x:c r="AH34" s="85" t="str">
        <x:v>identified</x:v>
      </x:c>
      <x:c r="AI34" s="96" t="n">
        <x:v>2</x:v>
      </x:c>
      <x:c r="AJ34" s="86" t="b">
        <x:v>1</x:v>
      </x:c>
      <x:c r="AK34" s="96" t="n">
        <x:v>76</x:v>
      </x:c>
      <x:c r="AL34" s="85" t="str">
        <x:v>high</x:v>
      </x:c>
      <x:c r="AM34" s="85" t="str">
        <x:v>Cross-verified facility record; unresolved values remain null rather than inferred.</x:v>
      </x:c>
      <x:c r="AN34" s="85" t="str">
        <x:v>1.1</x:v>
      </x:c>
      <x:c r="AO34" s="85" t="str">
        <x:v>2026-09-03-deduplicated</x:v>
      </x:c>
    </x:row>
    <x:row r="35" ht="30" hidden="0" customHeight="1">
      <x:c r="A35" s="16" t="str">
        <x:v>TNDC-035</x:v>
      </x:c>
      <x:c r="B35" s="23" t="str">
        <x:v>H5 Data Centers Nashville (TN01)</x:v>
      </x:c>
      <x:c r="C35" s="23" t="str">
        <x:v>IRIS</x:v>
      </x:c>
      <x:c r="D35" s="23" t="str">
        <x:v>H5 Data Centers | IRIS</x:v>
      </x:c>
      <x:c r="E35" s="23" t="str">
        <x:v>211 Commerce Street</x:v>
      </x:c>
      <x:c r="F35" s="17" t="str">
        <x:v>Nashville</x:v>
      </x:c>
      <x:c r="G35" s="26" t="str">
        <x:v>Davidson</x:v>
      </x:c>
      <x:c r="H35" s="17" t="str">
        <x:v>TN</x:v>
      </x:c>
      <x:c r="I35" s="17" t="str">
        <x:v>37201</x:v>
      </x:c>
      <x:c r="J35" s="29" t="n">
        <x:v>36.162621</x:v>
      </x:c>
      <x:c r="K35" s="29" t="n">
        <x:v>-86.776316</x:v>
      </x:c>
      <x:c r="L35" s="17" t="str">
        <x:v>address_or_site</x:v>
      </x:c>
      <x:c r="M35" s="17" t="str">
        <x:v>high</x:v>
      </x:c>
      <x:c r="N35" s="23" t="str">
        <x:v>peeringdb:312</x:v>
      </x:c>
      <x:c r="O35" s="88" t="n">
        <x:v>0</x:v>
      </x:c>
      <x:c r="P35" s="77" t="b">
        <x:v>0</x:v>
      </x:c>
      <x:c r="Q35" s="17" t="str">
        <x:v>operational</x:v>
      </x:c>
      <x:c r="R35" s="17" t="str">
        <x:v>decommissioned | operational</x:v>
      </x:c>
      <x:c r="S35" s="77" t="b">
        <x:v>1</x:v>
      </x:c>
      <x:c r="T35" s="17" t="str">
        <x:v>interconnection_facility</x:v>
      </x:c>
      <x:c r="U35" s="17" t="str">
        <x:v>interconnection_facility</x:v>
      </x:c>
      <x:c r="V35" s="17" t="str">
        <x:v>core_data_center</x:v>
      </x:c>
      <x:c r="W35" s="91"/>
      <x:c r="X35" s="91"/>
      <x:c r="Y35" s="91"/>
      <x:c r="Z35" s="35"/>
      <x:c r="AA35" s="17" t="str">
        <x:v>peeringdb | datacentermap</x:v>
      </x:c>
      <x:c r="AB35" s="94" t="n">
        <x:v>2</x:v>
      </x:c>
      <x:c r="AC35" s="94" t="n">
        <x:v>3</x:v>
      </x:c>
      <x:c r="AD35" s="23" t="str">
        <x:v>peeringdb:312 | peeringdb:3925 | datacentermap:h5-nashville1</x:v>
      </x:c>
      <x:c r="AE35" s="23" t="str">
        <x:v>http://h5datacenters.com/ | http://www.iristransport.com/ | https://www.datacentermap.com/usa/tennessee/nashville/h5-nashville/</x:v>
      </x:c>
      <x:c r="AF35" s="128" t="str">
        <x:v>2026-09-03</x:v>
      </x:c>
      <x:c r="AG35" s="85" t="str">
        <x:v>confirmed</x:v>
      </x:c>
      <x:c r="AH35" s="85" t="str">
        <x:v>identified</x:v>
      </x:c>
      <x:c r="AI35" s="96" t="n">
        <x:v>3</x:v>
      </x:c>
      <x:c r="AJ35" s="86" t="b">
        <x:v>1</x:v>
      </x:c>
      <x:c r="AK35" s="96" t="n">
        <x:v>90</x:v>
      </x:c>
      <x:c r="AL35" s="85" t="str">
        <x:v>high</x:v>
      </x:c>
      <x:c r="AM35" s="85" t="str">
        <x:v>Cross-verified facility record; unresolved values remain null rather than inferred.</x:v>
      </x:c>
      <x:c r="AN35" s="85" t="str">
        <x:v>1.1</x:v>
      </x:c>
      <x:c r="AO35" s="85" t="str">
        <x:v>2026-09-03-deduplicated</x:v>
      </x:c>
    </x:row>
    <x:row r="36" ht="30" hidden="0" customHeight="1">
      <x:c r="A36" s="16" t="str">
        <x:v>TNDC-036</x:v>
      </x:c>
      <x:c r="B36" s="23" t="str">
        <x:v>Level(3) Nashville (9th Ave)</x:v>
      </x:c>
      <x:c r="C36" s="23" t="str">
        <x:v>Lumen Technologies Inc</x:v>
      </x:c>
      <x:c r="D36" s="23" t="str">
        <x:v>Lumen Technologies Inc</x:v>
      </x:c>
      <x:c r="E36" s="23" t="str">
        <x:v>2208 9th Ave N</x:v>
      </x:c>
      <x:c r="F36" s="17" t="str">
        <x:v>Nashville</x:v>
      </x:c>
      <x:c r="G36" s="26" t="str">
        <x:v>Davidson</x:v>
      </x:c>
      <x:c r="H36" s="17" t="str">
        <x:v>TN</x:v>
      </x:c>
      <x:c r="I36" s="17" t="str">
        <x:v>37208</x:v>
      </x:c>
      <x:c r="J36" s="29" t="n">
        <x:v>36.189148</x:v>
      </x:c>
      <x:c r="K36" s="29" t="n">
        <x:v>-86.804111</x:v>
      </x:c>
      <x:c r="L36" s="17" t="str">
        <x:v>address_or_site</x:v>
      </x:c>
      <x:c r="M36" s="17" t="str">
        <x:v>high</x:v>
      </x:c>
      <x:c r="N36" s="23" t="str">
        <x:v>peeringdb:1983</x:v>
      </x:c>
      <x:c r="O36" s="88"/>
      <x:c r="P36" s="77" t="b">
        <x:v>0</x:v>
      </x:c>
      <x:c r="Q36" s="17" t="str">
        <x:v>operational</x:v>
      </x:c>
      <x:c r="R36" s="17" t="str">
        <x:v>operational</x:v>
      </x:c>
      <x:c r="S36" s="77" t="b">
        <x:v>0</x:v>
      </x:c>
      <x:c r="T36" s="17" t="str">
        <x:v>interconnection_facility</x:v>
      </x:c>
      <x:c r="U36" s="17" t="str">
        <x:v>interconnection_facility</x:v>
      </x:c>
      <x:c r="V36" s="17" t="str">
        <x:v>core_data_center</x:v>
      </x:c>
      <x:c r="W36" s="91"/>
      <x:c r="X36" s="91"/>
      <x:c r="Y36" s="91"/>
      <x:c r="Z36" s="35"/>
      <x:c r="AA36" s="17" t="str">
        <x:v>peeringdb | wsmv</x:v>
      </x:c>
      <x:c r="AB36" s="94" t="n">
        <x:v>2</x:v>
      </x:c>
      <x:c r="AC36" s="94" t="n">
        <x:v>2</x:v>
      </x:c>
      <x:c r="AD36" s="23" t="str">
        <x:v>peeringdb:1983 | wsmv:nashville-list-9th</x:v>
      </x:c>
      <x:c r="AE36" s="23" t="str">
        <x:v>http://www.level3.net | https://www.wsmv.com/2026/06/04/how-many-data-centers-are-there-nashville-heres-map-where-theyre-located/</x:v>
      </x:c>
      <x:c r="AF36" s="128" t="str">
        <x:v>2026-09-03</x:v>
      </x:c>
      <x:c r="AG36" s="85" t="str">
        <x:v>confirmed</x:v>
      </x:c>
      <x:c r="AH36" s="85" t="str">
        <x:v>identified</x:v>
      </x:c>
      <x:c r="AI36" s="96" t="n">
        <x:v>2</x:v>
      </x:c>
      <x:c r="AJ36" s="86" t="b">
        <x:v>1</x:v>
      </x:c>
      <x:c r="AK36" s="96" t="n">
        <x:v>91</x:v>
      </x:c>
      <x:c r="AL36" s="85" t="str">
        <x:v>high</x:v>
      </x:c>
      <x:c r="AM36" s="85" t="str">
        <x:v>Cross-verified facility record; unresolved values remain null rather than inferred.</x:v>
      </x:c>
      <x:c r="AN36" s="85" t="str">
        <x:v>1.1</x:v>
      </x:c>
      <x:c r="AO36" s="85" t="str">
        <x:v>2026-09-03-deduplicated</x:v>
      </x:c>
    </x:row>
    <x:row r="37" ht="30" hidden="0" customHeight="1">
      <x:c r="A37" s="16" t="str">
        <x:v>TNDC-037</x:v>
      </x:c>
      <x:c r="B37" s="23" t="str">
        <x:v>Level(3) Nashville (Sidco Drive)</x:v>
      </x:c>
      <x:c r="C37" s="23" t="str">
        <x:v>Lumen Technologies Inc</x:v>
      </x:c>
      <x:c r="D37" s="23" t="str">
        <x:v>Lumen Technologies Inc</x:v>
      </x:c>
      <x:c r="E37" s="23" t="str">
        <x:v>2990 Sidco Drive</x:v>
      </x:c>
      <x:c r="F37" s="17" t="str">
        <x:v>Nashville</x:v>
      </x:c>
      <x:c r="G37" s="26" t="str">
        <x:v>Davidson</x:v>
      </x:c>
      <x:c r="H37" s="17" t="str">
        <x:v>TN</x:v>
      </x:c>
      <x:c r="I37" s="17" t="str">
        <x:v>37201</x:v>
      </x:c>
      <x:c r="J37" s="29" t="n">
        <x:v>36.102726</x:v>
      </x:c>
      <x:c r="K37" s="29" t="n">
        <x:v>-86.755786</x:v>
      </x:c>
      <x:c r="L37" s="17" t="str">
        <x:v>address_or_site</x:v>
      </x:c>
      <x:c r="M37" s="17" t="str">
        <x:v>high</x:v>
      </x:c>
      <x:c r="N37" s="23" t="str">
        <x:v>peeringdb:311</x:v>
      </x:c>
      <x:c r="O37" s="88"/>
      <x:c r="P37" s="77" t="b">
        <x:v>0</x:v>
      </x:c>
      <x:c r="Q37" s="17" t="str">
        <x:v>operational</x:v>
      </x:c>
      <x:c r="R37" s="17" t="str">
        <x:v>operational</x:v>
      </x:c>
      <x:c r="S37" s="77" t="b">
        <x:v>0</x:v>
      </x:c>
      <x:c r="T37" s="17" t="str">
        <x:v>interconnection_facility</x:v>
      </x:c>
      <x:c r="U37" s="17" t="str">
        <x:v>interconnection_facility</x:v>
      </x:c>
      <x:c r="V37" s="17" t="str">
        <x:v>core_data_center</x:v>
      </x:c>
      <x:c r="W37" s="91"/>
      <x:c r="X37" s="91"/>
      <x:c r="Y37" s="91"/>
      <x:c r="Z37" s="35"/>
      <x:c r="AA37" s="17" t="str">
        <x:v>peeringdb | wsmv | lumen</x:v>
      </x:c>
      <x:c r="AB37" s="94" t="n">
        <x:v>2</x:v>
      </x:c>
      <x:c r="AC37" s="94" t="n">
        <x:v>2</x:v>
      </x:c>
      <x:c r="AD37" s="23" t="str">
        <x:v>peeringdb:311 | wsmv:nashville-list-sidco | lumen:wavelength-site-list</x:v>
      </x:c>
      <x:c r="AE37" s="23" t="str">
        <x:v>http://www.level3.com | https://www.wsmv.com/2026/06/04/how-many-data-centers-are-there-nashville-heres-map-where-theyre-located/ | https://assets.lumen.com/is/content/Lumen/waves-rapid-routes-site-list</x:v>
      </x:c>
      <x:c r="AF37" s="128" t="str">
        <x:v>2026-09-07</x:v>
      </x:c>
      <x:c r="AG37" s="85" t="str">
        <x:v>confirmed</x:v>
      </x:c>
      <x:c r="AH37" s="85" t="str">
        <x:v>identified</x:v>
      </x:c>
      <x:c r="AI37" s="96" t="n">
        <x:v>2</x:v>
      </x:c>
      <x:c r="AJ37" s="86" t="b">
        <x:v>1</x:v>
      </x:c>
      <x:c r="AK37" s="96" t="n">
        <x:v>91</x:v>
      </x:c>
      <x:c r="AL37" s="85" t="str">
        <x:v>high</x:v>
      </x:c>
      <x:c r="AM37" s="85" t="str">
        <x:v>Canonical current address is 2990 Sidco Drive from Lumen's current route list. PeeringDB's 2992 Sidco Drive is retained as an adjacent legacy-directory discrepancy; the site point remains address_or_site rather than parcel-verified.</x:v>
      </x:c>
      <x:c r="AN37" s="85" t="str">
        <x:v>1.1</x:v>
      </x:c>
      <x:c r="AO37" s="85" t="str">
        <x:v>2026-09-03-deduplicated</x:v>
      </x:c>
    </x:row>
    <x:row r="38" ht="30" hidden="0" customHeight="1">
      <x:c r="A38" s="16" t="str">
        <x:v>TNDC-038</x:v>
      </x:c>
      <x:c r="B38" s="23" t="str">
        <x:v>Peace Communications NSH2</x:v>
      </x:c>
      <x:c r="C38" s="23" t="str">
        <x:v>Scipio Technologies</x:v>
      </x:c>
      <x:c r="D38" s="23" t="str">
        <x:v>Nexus Group | Peace Communications | Scipio Technologies</x:v>
      </x:c>
      <x:c r="E38" s="23" t="str">
        <x:v>1661 Murfreesboro Pike</x:v>
      </x:c>
      <x:c r="F38" s="17" t="str">
        <x:v>Nashville</x:v>
      </x:c>
      <x:c r="G38" s="26" t="str">
        <x:v>Davidson</x:v>
      </x:c>
      <x:c r="H38" s="17" t="str">
        <x:v>TN</x:v>
      </x:c>
      <x:c r="I38" s="17" t="str">
        <x:v>37217</x:v>
      </x:c>
      <x:c r="J38" s="29" t="n">
        <x:v>36.103326</x:v>
      </x:c>
      <x:c r="K38" s="29" t="n">
        <x:v>-86.668932</x:v>
      </x:c>
      <x:c r="L38" s="17" t="str">
        <x:v>address_or_site</x:v>
      </x:c>
      <x:c r="M38" s="17" t="str">
        <x:v>high</x:v>
      </x:c>
      <x:c r="N38" s="23" t="str">
        <x:v>peeringdb:5483</x:v>
      </x:c>
      <x:c r="O38" s="88"/>
      <x:c r="P38" s="77" t="b">
        <x:v>0</x:v>
      </x:c>
      <x:c r="Q38" s="17" t="str">
        <x:v>operational</x:v>
      </x:c>
      <x:c r="R38" s="17" t="str">
        <x:v>operational</x:v>
      </x:c>
      <x:c r="S38" s="77" t="b">
        <x:v>0</x:v>
      </x:c>
      <x:c r="T38" s="17" t="str">
        <x:v>interconnection_facility</x:v>
      </x:c>
      <x:c r="U38" s="17" t="str">
        <x:v>interconnection_facility</x:v>
      </x:c>
      <x:c r="V38" s="17" t="str">
        <x:v>core_data_center</x:v>
      </x:c>
      <x:c r="W38" s="91"/>
      <x:c r="X38" s="91"/>
      <x:c r="Y38" s="91"/>
      <x:c r="Z38" s="35"/>
      <x:c r="AA38" s="17" t="str">
        <x:v>peeringdb | scipio_official</x:v>
      </x:c>
      <x:c r="AB38" s="94" t="n">
        <x:v>2</x:v>
      </x:c>
      <x:c r="AC38" s="94" t="n">
        <x:v>2</x:v>
      </x:c>
      <x:c r="AD38" s="23" t="str">
        <x:v>peeringdb:5483 | scipio:nashville</x:v>
      </x:c>
      <x:c r="AE38" s="23" t="str">
        <x:v>http://nxs.net/nashville-data-center/ | https://scipiotech.com/support/</x:v>
      </x:c>
      <x:c r="AF38" s="128" t="str">
        <x:v>2026-09-03</x:v>
      </x:c>
      <x:c r="AG38" s="85" t="str">
        <x:v>confirmed</x:v>
      </x:c>
      <x:c r="AH38" s="85" t="str">
        <x:v>identified</x:v>
      </x:c>
      <x:c r="AI38" s="96" t="n">
        <x:v>2</x:v>
      </x:c>
      <x:c r="AJ38" s="86" t="b">
        <x:v>1</x:v>
      </x:c>
      <x:c r="AK38" s="96" t="n">
        <x:v>91</x:v>
      </x:c>
      <x:c r="AL38" s="85" t="str">
        <x:v>high</x:v>
      </x:c>
      <x:c r="AM38" s="85" t="str">
        <x:v>Peace Communications rebranded as Scipio Technologies in 2024; current operator normalized while legacy names are preserved.</x:v>
      </x:c>
      <x:c r="AN38" s="85" t="str">
        <x:v>1.1</x:v>
      </x:c>
      <x:c r="AO38" s="85" t="str">
        <x:v>2026-09-03-deduplicated</x:v>
      </x:c>
    </x:row>
    <x:row r="39" ht="30" hidden="0" customHeight="1">
      <x:c r="A39" s="16" t="str">
        <x:v>TNDC-039</x:v>
      </x:c>
      <x:c r="B39" s="23" t="str">
        <x:v>Quantum Leap Data Center/ Fisk University</x:v>
      </x:c>
      <x:c r="C39" s="23" t="str"/>
      <x:c r="D39" s="23" t="str">
        <x:v>Fisk University (project sponsor); operating partner not publicly identified</x:v>
      </x:c>
      <x:c r="E39" s="23" t="str">
        <x:v>1000 17th Ave N</x:v>
      </x:c>
      <x:c r="F39" s="17" t="str">
        <x:v>Nashville</x:v>
      </x:c>
      <x:c r="G39" s="26" t="str">
        <x:v>Davidson</x:v>
      </x:c>
      <x:c r="H39" s="17" t="str">
        <x:v>TN</x:v>
      </x:c>
      <x:c r="I39" s="17" t="str">
        <x:v>37208</x:v>
      </x:c>
      <x:c r="J39" s="29" t="n">
        <x:v>36.167574</x:v>
      </x:c>
      <x:c r="K39" s="29" t="n">
        <x:v>-86.8041028</x:v>
      </x:c>
      <x:c r="L39" s="17" t="str">
        <x:v>address_or_site</x:v>
      </x:c>
      <x:c r="M39" s="17" t="str">
        <x:v>high</x:v>
      </x:c>
      <x:c r="N39" s="23" t="str">
        <x:v>whereorg:1000-17th-ave-n</x:v>
      </x:c>
      <x:c r="O39" s="88"/>
      <x:c r="P39" s="77" t="b">
        <x:v>0</x:v>
      </x:c>
      <x:c r="Q39" s="17" t="str">
        <x:v>proposed</x:v>
      </x:c>
      <x:c r="R39" s="17" t="str">
        <x:v>proposed</x:v>
      </x:c>
      <x:c r="S39" s="77" t="b">
        <x:v>0</x:v>
      </x:c>
      <x:c r="T39" s="17" t="str">
        <x:v>data_center</x:v>
      </x:c>
      <x:c r="U39" s="17" t="str">
        <x:v>data_center</x:v>
      </x:c>
      <x:c r="V39" s="17" t="str">
        <x:v>core_data_center</x:v>
      </x:c>
      <x:c r="W39" s="91" t="n">
        <x:v>30</x:v>
      </x:c>
      <x:c r="X39" s="91" t="n">
        <x:v>70000</x:v>
      </x:c>
      <x:c r="Y39" s="91"/>
      <x:c r="Z39" s="35" t="n">
        <x:v>400000000</x:v>
      </x:c>
      <x:c r="AA39" s="17" t="str">
        <x:v>fractracker | fisk_official</x:v>
      </x:c>
      <x:c r="AB39" s="94" t="n">
        <x:v>2</x:v>
      </x:c>
      <x:c r="AC39" s="94" t="n">
        <x:v>2</x:v>
      </x:c>
      <x:c r="AD39" s="23" t="str">
        <x:v>fractracker:1779304944409-7202 | fisk:quantum-leap</x:v>
      </x:c>
      <x:c r="AE39" s="23" t="str">
        <x:v>https://www.datacenterdynamics.com/en/news/fisk-university-looks-to-build-data-center-in-nashville-tennessee/ | https://www.fisk.edu/quantumleap/ | https://www.fisk.edu/main-featured/fisk-university-unveils-1-billion-master-plan-launching-new-era-of-innovation-and-sustainability/ | https://www.datacentermap.com/usa/tennessee/nashville/quantum-leap-data-center/ | https://www.whereorg.com/fisk-university-15250808</x:v>
      </x:c>
      <x:c r="AF39" s="128" t="str">
        <x:v>2026-09-07</x:v>
      </x:c>
      <x:c r="AG39" s="85" t="str">
        <x:v>confirmed</x:v>
      </x:c>
      <x:c r="AH39" s="85" t="str">
        <x:v>partner_not_selected_publicly</x:v>
      </x:c>
      <x:c r="AI39" s="96" t="n">
        <x:v>2</x:v>
      </x:c>
      <x:c r="AJ39" s="86" t="b">
        <x:v>1</x:v>
      </x:c>
      <x:c r="AK39" s="96" t="n">
        <x:v>81</x:v>
      </x:c>
      <x:c r="AL39" s="85" t="str">
        <x:v>high</x:v>
      </x:c>
      <x:c r="AM39" s="85" t="str">
        <x:v>Fisk is the landowner and project sponsor. Fisk's August 2026 announcement describes the data-center corporate partner as yet to be determined, so no facility operator is attributed in this field.</x:v>
      </x:c>
      <x:c r="AN39" s="85" t="str">
        <x:v>1.1</x:v>
      </x:c>
      <x:c r="AO39" s="85" t="str">
        <x:v>2026-09-03-deduplicated</x:v>
      </x:c>
    </x:row>
    <x:row r="40" ht="30" hidden="0" customHeight="1">
      <x:c r="A40" s="16" t="str">
        <x:v>TNDC-040</x:v>
      </x:c>
      <x:c r="B40" s="23" t="str">
        <x:v>RadiusDC Nashville I</x:v>
      </x:c>
      <x:c r="C40" s="23" t="str">
        <x:v>RadiusDC</x:v>
      </x:c>
      <x:c r="D40" s="23" t="str">
        <x:v>RadiusDC</x:v>
      </x:c>
      <x:c r="E40" s="23" t="str">
        <x:v>2902 Brick Church Pike</x:v>
      </x:c>
      <x:c r="F40" s="17" t="str">
        <x:v>Nashville</x:v>
      </x:c>
      <x:c r="G40" s="26" t="str">
        <x:v>Davidson</x:v>
      </x:c>
      <x:c r="H40" s="17" t="str">
        <x:v>TN</x:v>
      </x:c>
      <x:c r="I40" s="17" t="str">
        <x:v>37207</x:v>
      </x:c>
      <x:c r="J40" s="29" t="n">
        <x:v>36.27987</x:v>
      </x:c>
      <x:c r="K40" s="29" t="n">
        <x:v>-86.7837</x:v>
      </x:c>
      <x:c r="L40" s="17" t="str">
        <x:v>approximate</x:v>
      </x:c>
      <x:c r="M40" s="17" t="str">
        <x:v>medium</x:v>
      </x:c>
      <x:c r="N40" s="23" t="str">
        <x:v>compute_atlas:radiusdc-nashville-i-tn</x:v>
      </x:c>
      <x:c r="O40" s="88"/>
      <x:c r="P40" s="77" t="b">
        <x:v>0</x:v>
      </x:c>
      <x:c r="Q40" s="17" t="str">
        <x:v>under_construction</x:v>
      </x:c>
      <x:c r="R40" s="17" t="str">
        <x:v>under_construction</x:v>
      </x:c>
      <x:c r="S40" s="77" t="b">
        <x:v>0</x:v>
      </x:c>
      <x:c r="T40" s="17" t="str">
        <x:v>data_center</x:v>
      </x:c>
      <x:c r="U40" s="17" t="str">
        <x:v>data_center</x:v>
      </x:c>
      <x:c r="V40" s="17" t="str">
        <x:v>core_data_center</x:v>
      </x:c>
      <x:c r="W40" s="91"/>
      <x:c r="X40" s="91"/>
      <x:c r="Y40" s="91" t="n">
        <x:v>12</x:v>
      </x:c>
      <x:c r="Z40" s="35"/>
      <x:c r="AA40" s="17" t="str">
        <x:v>compute_atlas | radiusdc_official</x:v>
      </x:c>
      <x:c r="AB40" s="94" t="n">
        <x:v>2</x:v>
      </x:c>
      <x:c r="AC40" s="94" t="n">
        <x:v>2</x:v>
      </x:c>
      <x:c r="AD40" s="23" t="str">
        <x:v>compute_atlas:radiusdc-nashville-i-tn | radiusdc:nashville1-groundbreaking</x:v>
      </x:c>
      <x:c r="AE40" s="23" t="str">
        <x:v>https://www.radius-dc.com/newsroom-and-events/radiusdc-breaks-ground-on-largest-data-center-in-nashville | https://www.yahoo.com/news/us/articles/guide-data-centers-tennessee-could-081728521.html | https://www.datacentermap.com/usa/tennessee/nashville/radiusdc-nashville-i/</x:v>
      </x:c>
      <x:c r="AF40" s="128" t="str">
        <x:v>2026-09-03</x:v>
      </x:c>
      <x:c r="AG40" s="85" t="str">
        <x:v>confirmed</x:v>
      </x:c>
      <x:c r="AH40" s="85" t="str">
        <x:v>identified</x:v>
      </x:c>
      <x:c r="AI40" s="96" t="n">
        <x:v>3</x:v>
      </x:c>
      <x:c r="AJ40" s="86" t="b">
        <x:v>1</x:v>
      </x:c>
      <x:c r="AK40" s="96" t="n">
        <x:v>82</x:v>
      </x:c>
      <x:c r="AL40" s="85" t="str">
        <x:v>high</x:v>
      </x:c>
      <x:c r="AM40" s="85" t="str">
        <x:v>Address independently confirmed; current coordinate remains approximate rather than replaced with a fabricated geocode.</x:v>
      </x:c>
      <x:c r="AN40" s="85" t="str">
        <x:v>1.1</x:v>
      </x:c>
      <x:c r="AO40" s="85" t="str">
        <x:v>2026-09-03-deduplicated</x:v>
      </x:c>
    </x:row>
    <x:row r="41" ht="30" hidden="0" customHeight="1">
      <x:c r="A41" s="16" t="str">
        <x:v>TNDC-041</x:v>
      </x:c>
      <x:c r="B41" s="23" t="str">
        <x:v>XO Nashville</x:v>
      </x:c>
      <x:c r="C41" s="23" t="str">
        <x:v>XO</x:v>
      </x:c>
      <x:c r="D41" s="23" t="str">
        <x:v>XO | Verizon</x:v>
      </x:c>
      <x:c r="E41" s="23" t="str">
        <x:v>101 Molloy Street</x:v>
      </x:c>
      <x:c r="F41" s="17" t="str">
        <x:v>Nashville</x:v>
      </x:c>
      <x:c r="G41" s="26" t="str">
        <x:v>Davidson</x:v>
      </x:c>
      <x:c r="H41" s="17" t="str">
        <x:v>TN</x:v>
      </x:c>
      <x:c r="I41" s="17" t="str">
        <x:v>37201</x:v>
      </x:c>
      <x:c r="J41" s="29" t="n">
        <x:v>36.158837</x:v>
      </x:c>
      <x:c r="K41" s="29" t="n">
        <x:v>-86.772516</x:v>
      </x:c>
      <x:c r="L41" s="17" t="str">
        <x:v>address_or_site</x:v>
      </x:c>
      <x:c r="M41" s="17" t="str">
        <x:v>high</x:v>
      </x:c>
      <x:c r="N41" s="23" t="str">
        <x:v>peeringdb:368</x:v>
      </x:c>
      <x:c r="O41" s="88"/>
      <x:c r="P41" s="77" t="b">
        <x:v>0</x:v>
      </x:c>
      <x:c r="Q41" s="17" t="str">
        <x:v>operational</x:v>
      </x:c>
      <x:c r="R41" s="17" t="str">
        <x:v>operational</x:v>
      </x:c>
      <x:c r="S41" s="77" t="b">
        <x:v>0</x:v>
      </x:c>
      <x:c r="T41" s="17" t="str">
        <x:v>interconnection_facility</x:v>
      </x:c>
      <x:c r="U41" s="17" t="str">
        <x:v>interconnection_facility</x:v>
      </x:c>
      <x:c r="V41" s="17" t="str">
        <x:v>core_data_center</x:v>
      </x:c>
      <x:c r="W41" s="91"/>
      <x:c r="X41" s="91"/>
      <x:c r="Y41" s="91"/>
      <x:c r="Z41" s="35"/>
      <x:c r="AA41" s="17" t="str">
        <x:v>peeringdb | datacenterjournal</x:v>
      </x:c>
      <x:c r="AB41" s="94" t="n">
        <x:v>2</x:v>
      </x:c>
      <x:c r="AC41" s="94" t="n">
        <x:v>2</x:v>
      </x:c>
      <x:c r="AD41" s="23" t="str">
        <x:v>peeringdb:368 | dcj:xo-nashville</x:v>
      </x:c>
      <x:c r="AE41" s="23" t="str">
        <x:v>http://www.xo.com | https://www.datacenterjournal.com/data-centers/tennessee/hendersonville/xo-nashville/ | https://www.cbragland.com/portfolio/101-molloy-street</x:v>
      </x:c>
      <x:c r="AF41" s="128" t="str">
        <x:v>2026-09-03</x:v>
      </x:c>
      <x:c r="AG41" s="85" t="str">
        <x:v>confirmed</x:v>
      </x:c>
      <x:c r="AH41" s="85" t="str">
        <x:v>identified</x:v>
      </x:c>
      <x:c r="AI41" s="96" t="n">
        <x:v>3</x:v>
      </x:c>
      <x:c r="AJ41" s="86" t="b">
        <x:v>1</x:v>
      </x:c>
      <x:c r="AK41" s="96" t="n">
        <x:v>98</x:v>
      </x:c>
      <x:c r="AL41" s="85" t="str">
        <x:v>high</x:v>
      </x:c>
      <x:c r="AM41" s="85" t="str">
        <x:v>Cross-verified facility record; unresolved values remain null rather than inferred.</x:v>
      </x:c>
      <x:c r="AN41" s="85" t="str">
        <x:v>1.1</x:v>
      </x:c>
      <x:c r="AO41" s="85" t="str">
        <x:v>2026-09-03-deduplicated</x:v>
      </x:c>
    </x:row>
    <x:row r="42" ht="30" hidden="0" customHeight="1">
      <x:c r="A42" s="16" t="str">
        <x:v>TNDC-042</x:v>
      </x:c>
      <x:c r="B42" s="23" t="str">
        <x:v>Zayo Nashville - 209 10th Ave. S</x:v>
      </x:c>
      <x:c r="C42" s="23" t="str">
        <x:v>DataBank</x:v>
      </x:c>
      <x:c r="D42" s="23" t="str">
        <x:v>Zayo Group | DataBank</x:v>
      </x:c>
      <x:c r="E42" s="23" t="str">
        <x:v>209 10th Ave. S</x:v>
      </x:c>
      <x:c r="F42" s="17" t="str">
        <x:v>Nashville</x:v>
      </x:c>
      <x:c r="G42" s="26" t="str">
        <x:v>Davidson</x:v>
      </x:c>
      <x:c r="H42" s="17" t="str">
        <x:v>TN</x:v>
      </x:c>
      <x:c r="I42" s="17" t="str">
        <x:v>37203</x:v>
      </x:c>
      <x:c r="J42" s="29" t="n">
        <x:v>36.155165</x:v>
      </x:c>
      <x:c r="K42" s="29" t="n">
        <x:v>-86.782559</x:v>
      </x:c>
      <x:c r="L42" s="17" t="str">
        <x:v>address_or_site</x:v>
      </x:c>
      <x:c r="M42" s="17" t="str">
        <x:v>high</x:v>
      </x:c>
      <x:c r="N42" s="23" t="str">
        <x:v>peeringdb:2936</x:v>
      </x:c>
      <x:c r="O42" s="88"/>
      <x:c r="P42" s="77" t="b">
        <x:v>0</x:v>
      </x:c>
      <x:c r="Q42" s="17" t="str">
        <x:v>operational</x:v>
      </x:c>
      <x:c r="R42" s="17" t="str">
        <x:v>operational</x:v>
      </x:c>
      <x:c r="S42" s="77" t="b">
        <x:v>0</x:v>
      </x:c>
      <x:c r="T42" s="17" t="str">
        <x:v>interconnection_facility</x:v>
      </x:c>
      <x:c r="U42" s="17" t="str">
        <x:v>interconnection_facility</x:v>
      </x:c>
      <x:c r="V42" s="17" t="str">
        <x:v>core_data_center</x:v>
      </x:c>
      <x:c r="W42" s="91"/>
      <x:c r="X42" s="91"/>
      <x:c r="Y42" s="91"/>
      <x:c r="Z42" s="35"/>
      <x:c r="AA42" s="17" t="str">
        <x:v>peeringdb | datacentermap</x:v>
      </x:c>
      <x:c r="AB42" s="94" t="n">
        <x:v>2</x:v>
      </x:c>
      <x:c r="AC42" s="94" t="n">
        <x:v>2</x:v>
      </x:c>
      <x:c r="AD42" s="23" t="str">
        <x:v>peeringdb:2936 | datacentermap:databank-209-10th</x:v>
      </x:c>
      <x:c r="AE42" s="23" t="str">
        <x:v>http://www.databank.com | https://www.datacentermap.com/usa/tennessee/nashville/zcolo-209-10th-ave-south/ | https://www.nashville.gov/sites/default/files/2026-02/1020705__Provision_of_Telecommunication_Services__Zayo_Group.pdf?ct=1770928123</x:v>
      </x:c>
      <x:c r="AF42" s="128" t="str">
        <x:v>2026-09-03</x:v>
      </x:c>
      <x:c r="AG42" s="85" t="str">
        <x:v>confirmed</x:v>
      </x:c>
      <x:c r="AH42" s="85" t="str">
        <x:v>identified</x:v>
      </x:c>
      <x:c r="AI42" s="96" t="n">
        <x:v>3</x:v>
      </x:c>
      <x:c r="AJ42" s="86" t="b">
        <x:v>1</x:v>
      </x:c>
      <x:c r="AK42" s="96" t="n">
        <x:v>98</x:v>
      </x:c>
      <x:c r="AL42" s="85" t="str">
        <x:v>high</x:v>
      </x:c>
      <x:c r="AM42" s="85" t="str">
        <x:v>DataBank acquired Zayo/zColo data-center assets in 2020; operator normalized to DataBank and Zayo history retained.</x:v>
      </x:c>
      <x:c r="AN42" s="85" t="str">
        <x:v>1.1</x:v>
      </x:c>
      <x:c r="AO42" s="85" t="str">
        <x:v>2026-09-03-deduplicated</x:v>
      </x:c>
    </x:row>
    <x:row r="43" ht="30" hidden="0" customHeight="1">
      <x:c r="A43" s="16" t="str">
        <x:v>TNDC-043</x:v>
      </x:c>
      <x:c r="B43" s="23" t="str">
        <x:v>CleanSpark New Tazewell Bitcoin Mining Facility</x:v>
      </x:c>
      <x:c r="C43" s="23" t="str">
        <x:v>CleanSpark, Inc.</x:v>
      </x:c>
      <x:c r="D43" s="23" t="str">
        <x:v>CleanSpark, Inc.</x:v>
      </x:c>
      <x:c r="E43" s="23" t="str">
        <x:v>3750 Tennessee-33</x:v>
      </x:c>
      <x:c r="F43" s="17" t="str">
        <x:v>New Tazewell</x:v>
      </x:c>
      <x:c r="G43" s="26" t="str">
        <x:v>Claiborne</x:v>
      </x:c>
      <x:c r="H43" s="17" t="str">
        <x:v>TN</x:v>
      </x:c>
      <x:c r="I43" s="17" t="str">
        <x:v>37825</x:v>
      </x:c>
      <x:c r="J43" s="29" t="n">
        <x:v>36.4426</x:v>
      </x:c>
      <x:c r="K43" s="29" t="n">
        <x:v>-83.5996</x:v>
      </x:c>
      <x:c r="L43" s="17" t="str">
        <x:v>approximate</x:v>
      </x:c>
      <x:c r="M43" s="17" t="str">
        <x:v>medium</x:v>
      </x:c>
      <x:c r="N43" s="23" t="str">
        <x:v>compute_atlas:cleanspark-new-tazewell-tn</x:v>
      </x:c>
      <x:c r="O43" s="88"/>
      <x:c r="P43" s="77" t="b">
        <x:v>0</x:v>
      </x:c>
      <x:c r="Q43" s="17" t="str">
        <x:v>operational</x:v>
      </x:c>
      <x:c r="R43" s="17" t="str">
        <x:v>operational</x:v>
      </x:c>
      <x:c r="S43" s="77" t="b">
        <x:v>0</x:v>
      </x:c>
      <x:c r="T43" s="17" t="str">
        <x:v>crypto_mining</x:v>
      </x:c>
      <x:c r="U43" s="17" t="str">
        <x:v>crypto_mining</x:v>
      </x:c>
      <x:c r="V43" s="17" t="str">
        <x:v>crypto_mining</x:v>
      </x:c>
      <x:c r="W43" s="91" t="n">
        <x:v>20</x:v>
      </x:c>
      <x:c r="X43" s="91"/>
      <x:c r="Y43" s="91"/>
      <x:c r="Z43" s="35"/>
      <x:c r="AA43" s="17" t="str">
        <x:v>compute_atlas | datacentermap.com</x:v>
      </x:c>
      <x:c r="AB43" s="94" t="n">
        <x:v>2</x:v>
      </x:c>
      <x:c r="AC43" s="94" t="n">
        <x:v>2</x:v>
      </x:c>
      <x:c r="AD43" s="23" t="str">
        <x:v>compute_atlas:cleanspark-new-tazewell-tn | datacentermap:cleanspark-new-tazewell</x:v>
      </x:c>
      <x:c r="AE43" s="23" t="str">
        <x:v>https://www.prnewswire.com/news-releases/cleanspark-to-add-5-ehs-and-increase-2024-guidance-with-acquisition-of-seven-additional-bitcoin-mining-facilities-in-tennessee-302244673.html | https://www.sec.gov/Archives/edgar/data/827876/000119312525297510/clsk-20250930.htm | https://www.datacentermap.com/usa/tennessee/knoxville/cleanspark-new-tazewell/</x:v>
      </x:c>
      <x:c r="AF43" s="128" t="str">
        <x:v>2026-09-03</x:v>
      </x:c>
      <x:c r="AG43" s="85" t="str">
        <x:v>confirmed</x:v>
      </x:c>
      <x:c r="AH43" s="85" t="str">
        <x:v>identified</x:v>
      </x:c>
      <x:c r="AI43" s="96" t="n">
        <x:v>2</x:v>
      </x:c>
      <x:c r="AJ43" s="86" t="b">
        <x:v>1</x:v>
      </x:c>
      <x:c r="AK43" s="96" t="n">
        <x:v>70</x:v>
      </x:c>
      <x:c r="AL43" s="85" t="str">
        <x:v>medium</x:v>
      </x:c>
      <x:c r="AM43" s="85" t="str">
        <x:v>DataCenterMap publishes 3750 Tennessee-33 and 20 MW for New Tazewell; existing coordinate provenance is retained.</x:v>
      </x:c>
      <x:c r="AN43" s="85" t="str">
        <x:v>1.1</x:v>
      </x:c>
      <x:c r="AO43" s="85" t="str">
        <x:v>2026-09-03-deduplicated</x:v>
      </x:c>
    </x:row>
    <x:row r="44" ht="30" hidden="0" customHeight="1">
      <x:c r="A44" s="16" t="str">
        <x:v>TNDC-044</x:v>
      </x:c>
      <x:c r="B44" s="23" t="str">
        <x:v>CleanSpark Oneida Bitcoin Mining Facility</x:v>
      </x:c>
      <x:c r="C44" s="23" t="str">
        <x:v>CleanSpark, Inc.</x:v>
      </x:c>
      <x:c r="D44" s="23" t="str">
        <x:v>CleanSpark, Inc.</x:v>
      </x:c>
      <x:c r="E44" s="23"/>
      <x:c r="F44" s="17" t="str">
        <x:v>Oneida</x:v>
      </x:c>
      <x:c r="G44" s="26" t="str">
        <x:v>Scott</x:v>
      </x:c>
      <x:c r="H44" s="17" t="str">
        <x:v>TN</x:v>
      </x:c>
      <x:c r="I44" s="17"/>
      <x:c r="J44" s="29" t="n">
        <x:v>36.4981</x:v>
      </x:c>
      <x:c r="K44" s="29" t="n">
        <x:v>-84.5127</x:v>
      </x:c>
      <x:c r="L44" s="17" t="str">
        <x:v>approximate</x:v>
      </x:c>
      <x:c r="M44" s="17" t="str">
        <x:v>medium</x:v>
      </x:c>
      <x:c r="N44" s="23" t="str">
        <x:v>compute_atlas:cleanspark-oneida-tn</x:v>
      </x:c>
      <x:c r="O44" s="88"/>
      <x:c r="P44" s="77" t="b">
        <x:v>0</x:v>
      </x:c>
      <x:c r="Q44" s="17" t="str">
        <x:v>operational</x:v>
      </x:c>
      <x:c r="R44" s="17" t="str">
        <x:v>operational</x:v>
      </x:c>
      <x:c r="S44" s="77" t="b">
        <x:v>0</x:v>
      </x:c>
      <x:c r="T44" s="17" t="str">
        <x:v>crypto_mining</x:v>
      </x:c>
      <x:c r="U44" s="17" t="str">
        <x:v>crypto_mining</x:v>
      </x:c>
      <x:c r="V44" s="17" t="str">
        <x:v>crypto_mining</x:v>
      </x:c>
      <x:c r="W44" s="91"/>
      <x:c r="X44" s="91"/>
      <x:c r="Y44" s="91"/>
      <x:c r="Z44" s="35"/>
      <x:c r="AA44" s="17" t="str">
        <x:v>compute_atlas</x:v>
      </x:c>
      <x:c r="AB44" s="94" t="n">
        <x:v>1</x:v>
      </x:c>
      <x:c r="AC44" s="94" t="n">
        <x:v>1</x:v>
      </x:c>
      <x:c r="AD44" s="23" t="str">
        <x:v>compute_atlas:cleanspark-oneida-tn</x:v>
      </x:c>
      <x:c r="AE44" s="23" t="str">
        <x:v>https://www.prnewswire.com/news-releases/cleanspark-to-add-5-ehs-and-increase-2024-guidance-with-acquisition-of-seven-additional-bitcoin-mining-facilities-in-tennessee-302244673.html | https://www.sec.gov/Archives/edgar/data/827876/000119312525297510/clsk-20250930.htm</x:v>
      </x:c>
      <x:c r="AF44" s="128" t="str">
        <x:v>2026-08-05</x:v>
      </x:c>
      <x:c r="AG44" s="85" t="str">
        <x:v>confirmed</x:v>
      </x:c>
      <x:c r="AH44" s="85" t="str">
        <x:v>identified</x:v>
      </x:c>
      <x:c r="AI44" s="96" t="n">
        <x:v>2</x:v>
      </x:c>
      <x:c r="AJ44" s="86" t="b">
        <x:v>1</x:v>
      </x:c>
      <x:c r="AK44" s="96" t="n">
        <x:v>70</x:v>
      </x:c>
      <x:c r="AL44" s="85" t="str">
        <x:v>medium</x:v>
      </x:c>
      <x:c r="AM44" s="85" t="str">
        <x:v>Cross-verified facility record; unresolved values remain null rather than inferred.</x:v>
      </x:c>
      <x:c r="AN44" s="85" t="str">
        <x:v>1.1</x:v>
      </x:c>
      <x:c r="AO44" s="85" t="str">
        <x:v>2026-09-03-deduplicated</x:v>
      </x:c>
    </x:row>
    <x:row r="45" ht="30" hidden="0" customHeight="1">
      <x:c r="A45" s="16" t="str">
        <x:v>TNDC-045</x:v>
      </x:c>
      <x:c r="B45" s="23" t="str">
        <x:v>CleanSpark Winfield Bitcoin Mining Facility</x:v>
      </x:c>
      <x:c r="C45" s="23" t="str">
        <x:v>CleanSpark, Inc.</x:v>
      </x:c>
      <x:c r="D45" s="23" t="str">
        <x:v>CleanSpark, Inc.</x:v>
      </x:c>
      <x:c r="E45" s="23" t="str">
        <x:v>708 Pine Grove Rd</x:v>
      </x:c>
      <x:c r="F45" s="17" t="str">
        <x:v>Winfield</x:v>
      </x:c>
      <x:c r="G45" s="26" t="str">
        <x:v>Scott</x:v>
      </x:c>
      <x:c r="H45" s="17" t="str">
        <x:v>TN</x:v>
      </x:c>
      <x:c r="I45" s="17" t="str">
        <x:v>37892</x:v>
      </x:c>
      <x:c r="J45" s="29" t="n">
        <x:v>36.5467887</x:v>
      </x:c>
      <x:c r="K45" s="29" t="n">
        <x:v>-84.4521787</x:v>
      </x:c>
      <x:c r="L45" s="17" t="str">
        <x:v>address_or_site</x:v>
      </x:c>
      <x:c r="M45" s="17" t="str">
        <x:v>high</x:v>
      </x:c>
      <x:c r="N45" s="23" t="str">
        <x:v>geocords:708-pine-grove-rd-winfield</x:v>
      </x:c>
      <x:c r="O45" s="88"/>
      <x:c r="P45" s="77" t="b">
        <x:v>0</x:v>
      </x:c>
      <x:c r="Q45" s="17" t="str">
        <x:v>operational</x:v>
      </x:c>
      <x:c r="R45" s="17" t="str">
        <x:v>operational</x:v>
      </x:c>
      <x:c r="S45" s="77" t="b">
        <x:v>0</x:v>
      </x:c>
      <x:c r="T45" s="17" t="str">
        <x:v>crypto_mining</x:v>
      </x:c>
      <x:c r="U45" s="17" t="str">
        <x:v>crypto_mining</x:v>
      </x:c>
      <x:c r="V45" s="17" t="str">
        <x:v>crypto_mining</x:v>
      </x:c>
      <x:c r="W45" s="91"/>
      <x:c r="X45" s="91"/>
      <x:c r="Y45" s="91"/>
      <x:c r="Z45" s="35"/>
      <x:c r="AA45" s="17" t="str">
        <x:v>compute_atlas | datacentermap.com</x:v>
      </x:c>
      <x:c r="AB45" s="94" t="n">
        <x:v>2</x:v>
      </x:c>
      <x:c r="AC45" s="94" t="n">
        <x:v>2</x:v>
      </x:c>
      <x:c r="AD45" s="23" t="str">
        <x:v>compute_atlas:cleanspark-winfield-tn | datacentermap:cleanspark-winfield</x:v>
      </x:c>
      <x:c r="AE45" s="23" t="str">
        <x:v>https://www.prnewswire.com/news-releases/cleanspark-to-add-5-ehs-and-increase-2024-guidance-with-acquisition-of-seven-additional-bitcoin-mining-facilities-in-tennessee-302244673.html | https://www.sec.gov/Archives/edgar/data/827876/000119312525297510/clsk-20250930.htm | https://www.datacentermap.com/usa/tennessee/knoxville/ | https://www.geocords.com/place/708-pine-grove-rd-winfield-tn-37892-usa-137705/</x:v>
      </x:c>
      <x:c r="AF45" s="128" t="str">
        <x:v>2026-09-03</x:v>
      </x:c>
      <x:c r="AG45" s="85" t="str">
        <x:v>confirmed</x:v>
      </x:c>
      <x:c r="AH45" s="85" t="str">
        <x:v>identified</x:v>
      </x:c>
      <x:c r="AI45" s="96" t="n">
        <x:v>2</x:v>
      </x:c>
      <x:c r="AJ45" s="86" t="b">
        <x:v>1</x:v>
      </x:c>
      <x:c r="AK45" s="96" t="n">
        <x:v>70</x:v>
      </x:c>
      <x:c r="AL45" s="85" t="str">
        <x:v>medium</x:v>
      </x:c>
      <x:c r="AM45" s="85" t="str">
        <x:v>Direct address geocode for 708 Pine Grove Rd replaces the earlier approximate Compute Atlas point; facility-address identity remains supported by DataCenterMap.</x:v>
      </x:c>
      <x:c r="AN45" s="85" t="str">
        <x:v>1.1</x:v>
      </x:c>
      <x:c r="AO45" s="85" t="str">
        <x:v>2026-09-03-deduplicated</x:v>
      </x:c>
    </x:row>
    <x:row r="46" ht="30" hidden="0" customHeight="1">
      <x:c r="A46" s="19" t="str">
        <x:v>TNDC-046</x:v>
      </x:c>
      <x:c r="B46" s="24" t="str">
        <x:v>LCUB Data Center</x:v>
      </x:c>
      <x:c r="C46" s="24" t="str">
        <x:v>Lenoir City Utilities Board</x:v>
      </x:c>
      <x:c r="D46" s="24" t="str">
        <x:v>Lenoir City Utilities Board</x:v>
      </x:c>
      <x:c r="E46" s="24" t="str">
        <x:v>7698 Creekwood Park Blvd</x:v>
      </x:c>
      <x:c r="F46" s="20" t="str">
        <x:v>Lenoir City</x:v>
      </x:c>
      <x:c r="G46" s="27" t="str">
        <x:v>Loudon</x:v>
      </x:c>
      <x:c r="H46" s="20" t="str">
        <x:v>TN</x:v>
      </x:c>
      <x:c r="I46" s="20" t="str">
        <x:v>37772</x:v>
      </x:c>
      <x:c r="J46" s="30" t="n">
        <x:v>35.840815</x:v>
      </x:c>
      <x:c r="K46" s="30" t="n">
        <x:v>-84.265703</x:v>
      </x:c>
      <x:c r="L46" s="20" t="str">
        <x:v>address_or_site</x:v>
      </x:c>
      <x:c r="M46" s="20" t="str">
        <x:v>high</x:v>
      </x:c>
      <x:c r="N46" s="24" t="str">
        <x:v>peeringdb:17123</x:v>
      </x:c>
      <x:c r="O46" s="89"/>
      <x:c r="P46" s="78" t="b">
        <x:v>0</x:v>
      </x:c>
      <x:c r="Q46" s="20" t="str">
        <x:v>operational</x:v>
      </x:c>
      <x:c r="R46" s="20" t="str">
        <x:v>operational</x:v>
      </x:c>
      <x:c r="S46" s="78" t="b">
        <x:v>0</x:v>
      </x:c>
      <x:c r="T46" s="20" t="str">
        <x:v>data_center</x:v>
      </x:c>
      <x:c r="U46" s="20" t="str">
        <x:v>data_center</x:v>
      </x:c>
      <x:c r="V46" s="20" t="str">
        <x:v>core_data_center</x:v>
      </x:c>
      <x:c r="W46" s="92"/>
      <x:c r="X46" s="92"/>
      <x:c r="Y46" s="92"/>
      <x:c r="Z46" s="36"/>
      <x:c r="AA46" s="20" t="str">
        <x:v>lcub.com | peeringdb.com | datacentermap.com</x:v>
      </x:c>
      <x:c r="AB46" s="95" t="n">
        <x:v>3</x:v>
      </x:c>
      <x:c r="AC46" s="95" t="n">
        <x:v>3</x:v>
      </x:c>
      <x:c r="AD46" s="24" t="str">
        <x:v>verification:tndc-046:01 | verification:tndc-046:02 | verification:tndc-046:03</x:v>
      </x:c>
      <x:c r="AE46" s="24" t="str">
        <x:v>https://www.lcub.com/data-center/ | https://www.peeringdb.com/fac/17123 | https://www.datacentermap.com/usa/tennessee/lenoir-city/</x:v>
      </x:c>
      <x:c r="AF46" s="129" t="str">
        <x:v>2026-09-03</x:v>
      </x:c>
      <x:c r="AG46" s="85" t="str">
        <x:v>confirmed</x:v>
      </x:c>
      <x:c r="AH46" s="85" t="str">
        <x:v>identified</x:v>
      </x:c>
      <x:c r="AI46" s="96" t="n">
        <x:v>3</x:v>
      </x:c>
      <x:c r="AJ46" s="86" t="b">
        <x:v>1</x:v>
      </x:c>
      <x:c r="AK46" s="96" t="n">
        <x:v>90</x:v>
      </x:c>
      <x:c r="AL46" s="85" t="str">
        <x:v>high</x:v>
      </x:c>
      <x:c r="AM46" s="85" t="str">
        <x:v>Utility-operated colocation/data-center facility; coordinates are source-published by PeeringDB.</x:v>
      </x:c>
      <x:c r="AN46" s="85" t="str">
        <x:v>1.1</x:v>
      </x:c>
      <x:c r="AO46" s="85" t="str">
        <x:v>2026-09-03-deduplicated</x:v>
      </x:c>
    </x:row>
    <x:row r="47">
      <x:c r="A47" t="str">
        <x:v>TNDC-047</x:v>
      </x:c>
      <x:c r="B47" t="str">
        <x:v>TenHats Knoxville Data Center</x:v>
      </x:c>
      <x:c r="C47" t="str">
        <x:v>TenHats</x:v>
      </x:c>
      <x:c r="D47" t="str">
        <x:v>SH Data Technologies | TenHats</x:v>
      </x:c>
      <x:c r="E47" t="str">
        <x:v>550 Fort Summit Way</x:v>
      </x:c>
      <x:c r="F47" t="str">
        <x:v>Knoxville</x:v>
      </x:c>
      <x:c r="G47" t="str">
        <x:v>Knox</x:v>
      </x:c>
      <x:c r="H47" t="str">
        <x:v>TN</x:v>
      </x:c>
      <x:c r="I47" t="str">
        <x:v>37915</x:v>
      </x:c>
      <x:c r="J47" t="n">
        <x:v>35.97048129</x:v>
      </x:c>
      <x:c r="K47" t="n">
        <x:v>-83.91221605</x:v>
      </x:c>
      <x:c r="L47" t="str">
        <x:v>approximate_site</x:v>
      </x:c>
      <x:c r="M47" t="str">
        <x:v>medium</x:v>
      </x:c>
      <x:c r="N47" t="str">
        <x:v>datacentermap-derived:tenhats-multilateration</x:v>
      </x:c>
      <x:c r="O47"/>
      <x:c r="P47" s="76" t="b">
        <x:v>0</x:v>
      </x:c>
      <x:c r="Q47" t="str">
        <x:v>operational</x:v>
      </x:c>
      <x:c r="R47" t="str">
        <x:v>operational</x:v>
      </x:c>
      <x:c r="S47" s="76" t="b">
        <x:v>0</x:v>
      </x:c>
      <x:c r="T47" t="str">
        <x:v>data_center</x:v>
      </x:c>
      <x:c r="U47" t="str">
        <x:v>data_center</x:v>
      </x:c>
      <x:c r="V47" t="str">
        <x:v>core_data_center</x:v>
      </x:c>
      <x:c r="W47"/>
      <x:c r="X47" t="n">
        <x:v>10000</x:v>
      </x:c>
      <x:c r="Y47"/>
      <x:c r="Z47"/>
      <x:c r="AA47" t="str">
        <x:v>tenhats.com | datacentermap.com | commission.knoxcountytn.gov</x:v>
      </x:c>
      <x:c r="AB47" t="n">
        <x:v>3</x:v>
      </x:c>
      <x:c r="AC47" t="n">
        <x:v>4</x:v>
      </x:c>
      <x:c r="AD47" t="str">
        <x:v>verification:tndc-047:01 | verification:tndc-047:02 | verification:tndc-047:03 | verification:tndc-047:04</x:v>
      </x:c>
      <x:c r="AE47" s="85" t="str">
        <x:v>https://tenhats.com/data-center/ | https://tenhats.com/wp-content/uploads/2024/08/TH_DC-Customer-Rules-and-Responsibilities_2024.pdf | https://www.datacentermap.com/usa/tennessee/knoxville/the-fort/ | https://commission.knoxcountytn.gov/forums/topic/data-center-moratorium/ | https://www.loopnet.com/property/550-fort-summit-way-knoxville-tn-37915/47093-095HC00801/</x:v>
      </x:c>
      <x:c r="AF47" s="123" t="str">
        <x:v>2026-09-04</x:v>
      </x:c>
      <x:c r="AG47" s="85" t="str">
        <x:v>confirmed</x:v>
      </x:c>
      <x:c r="AH47" s="85" t="str">
        <x:v>identified</x:v>
      </x:c>
      <x:c r="AI47" s="85" t="n">
        <x:v>3</x:v>
      </x:c>
      <x:c r="AJ47" s="86" t="b">
        <x:v>1</x:v>
      </x:c>
      <x:c r="AK47" s="85" t="n">
        <x:v>90</x:v>
      </x:c>
      <x:c r="AL47" s="85" t="str">
        <x:v>high</x:v>
      </x:c>
      <x:c r="AM47" s="85" t="str">
        <x:v>Derived approximate-site coordinate from DataCenterMap straight-line distances to Scipio Knoxville (0.6 mi), Bitdeer Tennessee (4.73 mi), and Infinity Data Center (12.75 mi), using those facilities' existing WGS84 coordinates. Least-squares distance residuals are ~0.03-0.05 km. This is not asserted as an exact building centroid.</x:v>
      </x:c>
      <x:c r="AN47" t="str">
        <x:v>1.1</x:v>
      </x:c>
      <x:c r="AO47" t="str">
        <x:v>2026-09-03-deduplicated</x:v>
      </x:c>
    </x:row>
    <x:row r="48">
      <x:c r="A48" t="str">
        <x:v>TNDC-048</x:v>
      </x:c>
      <x:c r="B48" t="str">
        <x:v>Infinity Data Center</x:v>
      </x:c>
      <x:c r="C48" t="str">
        <x:v>Infinity Data Center</x:v>
      </x:c>
      <x:c r="D48" t="str">
        <x:v>Infinity Data Center | Webservio</x:v>
      </x:c>
      <x:c r="E48" t="str">
        <x:v>2575 Willow Point Way, Suite 103</x:v>
      </x:c>
      <x:c r="F48" t="str">
        <x:v>Knoxville</x:v>
      </x:c>
      <x:c r="G48" t="str">
        <x:v>Knox</x:v>
      </x:c>
      <x:c r="H48" t="str">
        <x:v>TN</x:v>
      </x:c>
      <x:c r="I48" t="str">
        <x:v>37931</x:v>
      </x:c>
      <x:c r="J48" t="n">
        <x:v>35.9585</x:v>
      </x:c>
      <x:c r="K48" t="n">
        <x:v>-84.1392</x:v>
      </x:c>
      <x:c r="L48" t="str">
        <x:v>address_or_site</x:v>
      </x:c>
      <x:c r="M48" t="str">
        <x:v>high</x:v>
      </x:c>
      <x:c r="N48" t="str">
        <x:v>crexi:2575-willow-point-way</x:v>
      </x:c>
      <x:c r="O48"/>
      <x:c r="P48" s="76" t="b">
        <x:v>0</x:v>
      </x:c>
      <x:c r="Q48" t="str">
        <x:v>operational</x:v>
      </x:c>
      <x:c r="R48" t="str">
        <x:v>operational</x:v>
      </x:c>
      <x:c r="S48" s="76" t="b">
        <x:v>0</x:v>
      </x:c>
      <x:c r="T48" t="str">
        <x:v>data_center</x:v>
      </x:c>
      <x:c r="U48" t="str">
        <x:v>data_center</x:v>
      </x:c>
      <x:c r="V48" t="str">
        <x:v>core_data_center</x:v>
      </x:c>
      <x:c r="W48"/>
      <x:c r="X48"/>
      <x:c r="Y48"/>
      <x:c r="Z48"/>
      <x:c r="AA48" t="str">
        <x:v>infinitydatacenter.com | datacentermap.com | datacenterdynamics.com | commission.knoxcountytn.gov</x:v>
      </x:c>
      <x:c r="AB48" t="n">
        <x:v>4</x:v>
      </x:c>
      <x:c r="AC48" t="n">
        <x:v>5</x:v>
      </x:c>
      <x:c r="AD48" t="str">
        <x:v>verification:tndc-048:01 | verification:tndc-048:02 | verification:tndc-048:03 | verification:tndc-048:04 | verification:tndc-048:05</x:v>
      </x:c>
      <x:c r="AE48" s="85" t="str">
        <x:v>https://www.infinitydatacenter.com/ | https://www.infinitydatacenter.com/about-infinity-data-center.php | https://www.datacentermap.com/usa/tennessee/knoxville/infinity-data-center/ecosystem/ | https://www.datacenterdynamics.com/en/news/data-center-unit-for-sale-in-knoxville-tennessee/ | https://commission.knoxcountytn.gov/forums/topic/data-center-moratorium/ | https://www.crexi.com/properties/740350/tennessee-infinity-data-center</x:v>
      </x:c>
      <x:c r="AF48" s="123" t="str">
        <x:v>2026-09-04</x:v>
      </x:c>
      <x:c r="AG48" s="85" t="str">
        <x:v>confirmed</x:v>
      </x:c>
      <x:c r="AH48" s="85" t="str">
        <x:v>identified</x:v>
      </x:c>
      <x:c r="AI48" s="85" t="n">
        <x:v>4</x:v>
      </x:c>
      <x:c r="AJ48" s="86" t="b">
        <x:v>1</x:v>
      </x:c>
      <x:c r="AK48" s="85" t="n">
        <x:v>90</x:v>
      </x:c>
      <x:c r="AL48" s="85" t="str">
        <x:v>high</x:v>
      </x:c>
      <x:c r="AM48" s="85" t="str">
        <x:v>Direct property listing for the Infinity telecom/data-center property at 2575 Willow Point Way; address-level coordinates.</x:v>
      </x:c>
      <x:c r="AN48" t="str">
        <x:v>1.1</x:v>
      </x:c>
      <x:c r="AO48" t="str">
        <x:v>2026-09-03-deduplicated</x:v>
      </x:c>
    </x:row>
    <x:row r="49">
      <x:c r="A49" t="str">
        <x:v>TNDC-049</x:v>
      </x:c>
      <x:c r="B49" t="str">
        <x:v>Windstream / Uniti Knoxville</x:v>
      </x:c>
      <x:c r="C49" t="str">
        <x:v>Uniti Wholesale</x:v>
      </x:c>
      <x:c r="D49" t="str">
        <x:v>Windstream | Uniti Wholesale</x:v>
      </x:c>
      <x:c r="E49" t="str">
        <x:v>2333 Lovell Rd</x:v>
      </x:c>
      <x:c r="F49" t="str">
        <x:v>Knoxville</x:v>
      </x:c>
      <x:c r="G49" t="str">
        <x:v>Knox</x:v>
      </x:c>
      <x:c r="H49" t="str">
        <x:v>TN</x:v>
      </x:c>
      <x:c r="I49" t="str">
        <x:v>37932</x:v>
      </x:c>
      <x:c r="J49" t="n">
        <x:v>35.95217137</x:v>
      </x:c>
      <x:c r="K49" t="n">
        <x:v>-84.12517265</x:v>
      </x:c>
      <x:c r="L49" t="str">
        <x:v>approximate_site</x:v>
      </x:c>
      <x:c r="M49" t="str">
        <x:v>medium</x:v>
      </x:c>
      <x:c r="N49" t="str">
        <x:v>datacentermap-derived:uniti-knoxville-multilateration</x:v>
      </x:c>
      <x:c r="O49"/>
      <x:c r="P49" s="76" t="b">
        <x:v>0</x:v>
      </x:c>
      <x:c r="Q49" t="str">
        <x:v>operational</x:v>
      </x:c>
      <x:c r="R49" t="str">
        <x:v>operational</x:v>
      </x:c>
      <x:c r="S49" s="76" t="b">
        <x:v>0</x:v>
      </x:c>
      <x:c r="T49" t="str">
        <x:v>interconnection_facility</x:v>
      </x:c>
      <x:c r="U49" t="str">
        <x:v>interconnection_facility</x:v>
      </x:c>
      <x:c r="V49" t="str">
        <x:v>core_data_center</x:v>
      </x:c>
      <x:c r="W49"/>
      <x:c r="X49"/>
      <x:c r="Y49"/>
      <x:c r="Z49"/>
      <x:c r="AA49" t="str">
        <x:v>commission.knoxcountytn.gov | windstreamwholesale.com | datacentermap.com</x:v>
      </x:c>
      <x:c r="AB49" t="n">
        <x:v>3</x:v>
      </x:c>
      <x:c r="AC49" t="n">
        <x:v>3</x:v>
      </x:c>
      <x:c r="AD49" t="str">
        <x:v>verification:tndc-049:01 | verification:tndc-049:02 | verification:tndc-049:03</x:v>
      </x:c>
      <x:c r="AE49" s="85" t="str">
        <x:v>https://commission.knoxcountytn.gov/forums/topic/data-center-moratorium/ | https://www.windstreamwholesale.com/wp-content/uploads/2024/05/WW-nationwide-network-map.pdf | https://www.datacentermap.com/usa/tennessee/knoxville/ | https://www.datacentermap.com/usa/tennessee/knoxville/windstream-knoxville/</x:v>
      </x:c>
      <x:c r="AF49" s="123" t="str">
        <x:v>2026-09-04</x:v>
      </x:c>
      <x:c r="AG49" s="85" t="str">
        <x:v>confirmed</x:v>
      </x:c>
      <x:c r="AH49" s="85" t="str">
        <x:v>identified</x:v>
      </x:c>
      <x:c r="AI49" s="85" t="n">
        <x:v>3</x:v>
      </x:c>
      <x:c r="AJ49" s="86" t="b">
        <x:v>1</x:v>
      </x:c>
      <x:c r="AK49" s="85" t="n">
        <x:v>90</x:v>
      </x:c>
      <x:c r="AL49" s="85" t="str">
        <x:v>high</x:v>
      </x:c>
      <x:c r="AM49" s="85" t="str">
        <x:v>Derived approximate-site coordinate from DataCenterMap distances to Infinity Data Center (1.47 km), Scipio Knoxville (18.41 km), TenHats Knoxville (19.3 km), and LCUB Data Center (17.73 km). The multilateration solution has ~0.01-0.03 km residuals against these anchors. The lower-latitude circle intersection is selected because it also agrees with the LCUB distance. Not asserted as an exact building centroid.</x:v>
      </x:c>
      <x:c r="AN49" t="str">
        <x:v>1.1</x:v>
      </x:c>
      <x:c r="AO49" t="str">
        <x:v>2026-09-03-deduplicated</x:v>
      </x:c>
    </x:row>
    <x:row r="50">
      <x:c r="A50" t="str">
        <x:v>TNDC-050</x:v>
      </x:c>
      <x:c r="B50" t="str">
        <x:v>Aeneas Data Center</x:v>
      </x:c>
      <x:c r="C50" t="str">
        <x:v>Aeneas Internet and Telephone</x:v>
      </x:c>
      <x:c r="D50" t="str">
        <x:v>Aeneas Internet and Telephone</x:v>
      </x:c>
      <x:c r="E50" t="str">
        <x:v>300 N Cumberland St</x:v>
      </x:c>
      <x:c r="F50" t="str">
        <x:v>Jackson</x:v>
      </x:c>
      <x:c r="G50" t="str">
        <x:v>Madison</x:v>
      </x:c>
      <x:c r="H50" t="str">
        <x:v>TN</x:v>
      </x:c>
      <x:c r="I50" t="str">
        <x:v>38301</x:v>
      </x:c>
      <x:c r="J50" t="n">
        <x:v>35.6163439553</x:v>
      </x:c>
      <x:c r="K50" t="n">
        <x:v>-88.8159272209</x:v>
      </x:c>
      <x:c r="L50" t="str">
        <x:v>address_or_site</x:v>
      </x:c>
      <x:c r="M50" t="str">
        <x:v>high</x:v>
      </x:c>
      <x:c r="N50" t="str">
        <x:v>merchantcircle:aeneas-300-n-cumberland</x:v>
      </x:c>
      <x:c r="O50"/>
      <x:c r="P50" s="76" t="b">
        <x:v>0</x:v>
      </x:c>
      <x:c r="Q50" t="str">
        <x:v>operational</x:v>
      </x:c>
      <x:c r="R50" t="str">
        <x:v>operational</x:v>
      </x:c>
      <x:c r="S50" s="76" t="b">
        <x:v>0</x:v>
      </x:c>
      <x:c r="T50" t="str">
        <x:v>interconnection_facility</x:v>
      </x:c>
      <x:c r="U50" t="str">
        <x:v>interconnection_facility</x:v>
      </x:c>
      <x:c r="V50" t="str">
        <x:v>core_data_center</x:v>
      </x:c>
      <x:c r="W50"/>
      <x:c r="X50"/>
      <x:c r="Y50"/>
      <x:c r="Z50"/>
      <x:c r="AA50" t="str">
        <x:v>aeneas.com | datacentermap.com | tnecd.com</x:v>
      </x:c>
      <x:c r="AB50" t="n">
        <x:v>3</x:v>
      </x:c>
      <x:c r="AC50" t="n">
        <x:v>3</x:v>
      </x:c>
      <x:c r="AD50" t="str">
        <x:v>verification:tndc-050:01 | verification:tndc-050:02 | verification:tndc-050:03</x:v>
      </x:c>
      <x:c r="AE50" s="85" t="str">
        <x:v>https://aeneas.com/contact/ | https://www.datacentermap.com/usa/tennessee/jackson/ | https://tnecd.com/wp-content/uploads/2018/10/business-services.pdf | https://www.merchantcircle.com/tn-jackson-38301/electronics/internet-services</x:v>
      </x:c>
      <x:c r="AF50" s="123" t="str">
        <x:v>2026-09-04</x:v>
      </x:c>
      <x:c r="AG50" s="85" t="str">
        <x:v>confirmed</x:v>
      </x:c>
      <x:c r="AH50" s="85" t="str">
        <x:v>identified</x:v>
      </x:c>
      <x:c r="AI50" s="85" t="n">
        <x:v>3</x:v>
      </x:c>
      <x:c r="AJ50" s="86" t="b">
        <x:v>1</x:v>
      </x:c>
      <x:c r="AK50" s="85" t="n">
        <x:v>90</x:v>
      </x:c>
      <x:c r="AL50" s="85" t="str">
        <x:v>high</x:v>
      </x:c>
      <x:c r="AM50" s="85" t="str">
        <x:v>Aeneas Internet and Telephone is listed at 300 N Cumberland St with explicit coordinates.</x:v>
      </x:c>
      <x:c r="AN50" t="str">
        <x:v>1.1</x:v>
      </x:c>
      <x:c r="AO50" t="str">
        <x:v>2026-09-03-deduplicated</x:v>
      </x:c>
    </x:row>
    <x:row r="51">
      <x:c r="A51" t="str">
        <x:v>TNDC-051</x:v>
      </x:c>
      <x:c r="B51" t="str">
        <x:v>MCA Chattanooga Data Center</x:v>
      </x:c>
      <x:c r="C51" t="str">
        <x:v>MCA Technology Solutions</x:v>
      </x:c>
      <x:c r="D51" t="str">
        <x:v>MCA Technology Solutions</x:v>
      </x:c>
      <x:c r="E51" t="str">
        <x:v>6048 Century Oaks Dr</x:v>
      </x:c>
      <x:c r="F51" t="str">
        <x:v>Chattanooga</x:v>
      </x:c>
      <x:c r="G51" t="str">
        <x:v>Hamilton</x:v>
      </x:c>
      <x:c r="H51" t="str">
        <x:v>TN</x:v>
      </x:c>
      <x:c r="I51" t="str">
        <x:v>37416</x:v>
      </x:c>
      <x:c r="J51" t="n">
        <x:v>35.07589</x:v>
      </x:c>
      <x:c r="K51" t="n">
        <x:v>-85.18455</x:v>
      </x:c>
      <x:c r="L51" t="str">
        <x:v>address_or_site</x:v>
      </x:c>
      <x:c r="M51" t="str">
        <x:v>high</x:v>
      </x:c>
      <x:c r="N51" t="str">
        <x:v>openstreetmap:way-1076669797</x:v>
      </x:c>
      <x:c r="O51"/>
      <x:c r="P51" s="76" t="b">
        <x:v>0</x:v>
      </x:c>
      <x:c r="Q51" t="str">
        <x:v>operational</x:v>
      </x:c>
      <x:c r="R51" t="str">
        <x:v>operational</x:v>
      </x:c>
      <x:c r="S51" s="76" t="b">
        <x:v>0</x:v>
      </x:c>
      <x:c r="T51" t="str">
        <x:v>data_center</x:v>
      </x:c>
      <x:c r="U51" t="str">
        <x:v>data_center</x:v>
      </x:c>
      <x:c r="V51" t="str">
        <x:v>core_data_center</x:v>
      </x:c>
      <x:c r="W51" t="n">
        <x:v>0.5</x:v>
      </x:c>
      <x:c r="X51" t="n">
        <x:v>2500</x:v>
      </x:c>
      <x:c r="Y51"/>
      <x:c r="Z51"/>
      <x:c r="AA51" t="str">
        <x:v>tfpdev.wehco.com | datacentermap.com | tnecd.com</x:v>
      </x:c>
      <x:c r="AB51" t="n">
        <x:v>3</x:v>
      </x:c>
      <x:c r="AC51" t="n">
        <x:v>3</x:v>
      </x:c>
      <x:c r="AD51" t="str">
        <x:v>verification:tndc-051:01 | verification:tndc-051:02 | verification:tndc-051:03</x:v>
      </x:c>
      <x:c r="AE51" s="85" t="str">
        <x:v>https://tfpdev.wehco.com/news/2026/aug/23/where-are-data-centers-in-chattanooga-region/ | https://www.datacentermap.com/usa/tennessee/chattanooga/mca-corporate/ | https://tnecd.com/wp-content/uploads/2018/10/business-services.pdf | https://mapcarta.com/W1076669797</x:v>
      </x:c>
      <x:c r="AF51" s="123" t="str">
        <x:v>2026-09-04</x:v>
      </x:c>
      <x:c r="AG51" s="85" t="str">
        <x:v>confirmed</x:v>
      </x:c>
      <x:c r="AH51" s="85" t="str">
        <x:v>identified</x:v>
      </x:c>
      <x:c r="AI51" s="85" t="n">
        <x:v>3</x:v>
      </x:c>
      <x:c r="AJ51" s="86" t="b">
        <x:v>1</x:v>
      </x:c>
      <x:c r="AK51" s="85" t="n">
        <x:v>90</x:v>
      </x:c>
      <x:c r="AL51" s="85" t="str">
        <x:v>high</x:v>
      </x:c>
      <x:c r="AM51" s="85" t="str">
        <x:v>MCA official/current sources identify the data center at 6048 Century Oaks Dr. Mapcarta/OpenStreetMap way 1076669797 identifies the MCA Main Office building at the same address with WGS84 35.07589, -85.18455.</x:v>
      </x:c>
      <x:c r="AN51" t="str">
        <x:v>1.1</x:v>
      </x:c>
      <x:c r="AO51" t="str">
        <x:v>2026-09-03-deduplicated</x:v>
      </x:c>
    </x:row>
    <x:row r="52">
      <x:c r="A52" t="str">
        <x:v>TNDC-052</x:v>
      </x:c>
      <x:c r="B52" t="str">
        <x:v>Data Suites Murfreesboro</x:v>
      </x:c>
      <x:c r="C52" t="str">
        <x:v>Data Suites</x:v>
      </x:c>
      <x:c r="D52" t="str">
        <x:v>Data Suites</x:v>
      </x:c>
      <x:c r="E52" t="str">
        <x:v>1020 W College St</x:v>
      </x:c>
      <x:c r="F52" t="str">
        <x:v>Murfreesboro</x:v>
      </x:c>
      <x:c r="G52" t="str">
        <x:v>Rutherford</x:v>
      </x:c>
      <x:c r="H52" t="str">
        <x:v>TN</x:v>
      </x:c>
      <x:c r="I52" t="str">
        <x:v>37129</x:v>
      </x:c>
      <x:c r="J52" t="n">
        <x:v>35.856076</x:v>
      </x:c>
      <x:c r="K52" t="n">
        <x:v>-86.405338</x:v>
      </x:c>
      <x:c r="L52" t="str">
        <x:v>address_or_site</x:v>
      </x:c>
      <x:c r="M52" t="str">
        <x:v>high</x:v>
      </x:c>
      <x:c r="N52" t="str">
        <x:v>merchantcircle:1020-w-college-st</x:v>
      </x:c>
      <x:c r="O52"/>
      <x:c r="P52" s="76" t="b">
        <x:v>0</x:v>
      </x:c>
      <x:c r="Q52" t="str">
        <x:v>operational</x:v>
      </x:c>
      <x:c r="R52" t="str">
        <x:v>operational</x:v>
      </x:c>
      <x:c r="S52" s="76" t="b">
        <x:v>0</x:v>
      </x:c>
      <x:c r="T52" t="str">
        <x:v>data_center</x:v>
      </x:c>
      <x:c r="U52" t="str">
        <x:v>data_center</x:v>
      </x:c>
      <x:c r="V52" t="str">
        <x:v>core_data_center</x:v>
      </x:c>
      <x:c r="W52" t="n">
        <x:v>2</x:v>
      </x:c>
      <x:c r="X52" t="n">
        <x:v>10000</x:v>
      </x:c>
      <x:c r="Y52"/>
      <x:c r="Z52"/>
      <x:c r="AA52" t="str">
        <x:v>mydatasuites.com | datacentermap.com</x:v>
      </x:c>
      <x:c r="AB52" t="n">
        <x:v>2</x:v>
      </x:c>
      <x:c r="AC52" t="n">
        <x:v>4</x:v>
      </x:c>
      <x:c r="AD52" t="str">
        <x:v>verification:tndc-052:01 | verification:tndc-052:02 | verification:tndc-052:03 | verification:tndc-052:04</x:v>
      </x:c>
      <x:c r="AE52" s="85" t="str">
        <x:v>https://mydatasuites.com/ | https://mydatasuites.com/wp-content/uploads/2018/03/Data-Sheets-Fact-Sheet.pdf | https://mydatasuites.com/data-center-whitespace-lease-nashville/ | https://www.datacentermap.com/usa/tennessee/nashville/ | https://www.merchantcircle.com/tn-murfreesboro/retail-shopping/clothing/military-surplus</x:v>
      </x:c>
      <x:c r="AF52" s="123" t="str">
        <x:v>2026-09-04</x:v>
      </x:c>
      <x:c r="AG52" s="85" t="str">
        <x:v>confirmed</x:v>
      </x:c>
      <x:c r="AH52" s="85" t="str">
        <x:v>identified</x:v>
      </x:c>
      <x:c r="AI52" s="85" t="n">
        <x:v>2</x:v>
      </x:c>
      <x:c r="AJ52" s="86" t="b">
        <x:v>1</x:v>
      </x:c>
      <x:c r="AK52" s="85" t="n">
        <x:v>90</x:v>
      </x:c>
      <x:c r="AL52" s="85" t="str">
        <x:v>high</x:v>
      </x:c>
      <x:c r="AM52" s="85" t="str">
        <x:v>Data Suites is independently identified at 1020 W College St; MerchantCircle publishes an address-level coordinate for the same street address.</x:v>
      </x:c>
      <x:c r="AN52" t="str">
        <x:v>1.1</x:v>
      </x:c>
      <x:c r="AO52" t="str">
        <x:v>2026-09-03-deduplicated</x:v>
      </x:c>
    </x:row>
    <x:row r="53">
      <x:c r="A53" t="str">
        <x:v>TNDC-053</x:v>
      </x:c>
      <x:c r="B53" t="str">
        <x:v>Windstream / Uniti Brentwood</x:v>
      </x:c>
      <x:c r="C53" t="str">
        <x:v>Uniti Wholesale</x:v>
      </x:c>
      <x:c r="D53" t="str">
        <x:v>Windstream | Uniti Wholesale</x:v>
      </x:c>
      <x:c r="E53" t="str">
        <x:v>105 Westwood Pl</x:v>
      </x:c>
      <x:c r="F53" t="str">
        <x:v>Brentwood</x:v>
      </x:c>
      <x:c r="G53" t="str">
        <x:v>Williamson</x:v>
      </x:c>
      <x:c r="H53" t="str">
        <x:v>TN</x:v>
      </x:c>
      <x:c r="I53" t="str">
        <x:v>37027</x:v>
      </x:c>
      <x:c r="J53" t="n">
        <x:v>36.037186</x:v>
      </x:c>
      <x:c r="K53" t="n">
        <x:v>-86.806206</x:v>
      </x:c>
      <x:c r="L53" t="str">
        <x:v>address_or_site</x:v>
      </x:c>
      <x:c r="M53" t="str">
        <x:v>high</x:v>
      </x:c>
      <x:c r="N53" t="str">
        <x:v>merchantcircle:105-westwood-pl</x:v>
      </x:c>
      <x:c r="O53"/>
      <x:c r="P53" s="76" t="b">
        <x:v>0</x:v>
      </x:c>
      <x:c r="Q53" t="str">
        <x:v>operational</x:v>
      </x:c>
      <x:c r="R53" t="str">
        <x:v>operational</x:v>
      </x:c>
      <x:c r="S53" s="76" t="b">
        <x:v>0</x:v>
      </x:c>
      <x:c r="T53" t="str">
        <x:v>interconnection_facility</x:v>
      </x:c>
      <x:c r="U53" t="str">
        <x:v>interconnection_facility</x:v>
      </x:c>
      <x:c r="V53" t="str">
        <x:v>core_data_center</x:v>
      </x:c>
      <x:c r="W53"/>
      <x:c r="X53" t="n">
        <x:v>22000</x:v>
      </x:c>
      <x:c r="Y53"/>
      <x:c r="Z53"/>
      <x:c r="AA53" t="str">
        <x:v>windstreamwholesale.com | datacenters.com | newschannel5.com</x:v>
      </x:c>
      <x:c r="AB53" t="n">
        <x:v>3</x:v>
      </x:c>
      <x:c r="AC53" t="n">
        <x:v>3</x:v>
      </x:c>
      <x:c r="AD53" t="str">
        <x:v>verification:tndc-053:01 | verification:tndc-053:02 | verification:tndc-053:03</x:v>
      </x:c>
      <x:c r="AE53" s="85" t="str">
        <x:v>https://www.windstreamwholesale.com/wp-content/uploads/2024/05/WW-nationwide-network-map.pdf | https://www.datacenters.com/providers/windstream/locations/united-states | https://www.newschannel5.com/news/how-big-are-middle-tennessees-data-centers-a-look-at-facilities-already-operating | https://www.merchantcircle.com/Harpeth.Technology.Group.Brentwood.TN.615-371-1160</x:v>
      </x:c>
      <x:c r="AF53" s="123" t="str">
        <x:v>2026-09-04</x:v>
      </x:c>
      <x:c r="AG53" s="85" t="str">
        <x:v>confirmed</x:v>
      </x:c>
      <x:c r="AH53" s="85" t="str">
        <x:v>identified</x:v>
      </x:c>
      <x:c r="AI53" s="85" t="n">
        <x:v>3</x:v>
      </x:c>
      <x:c r="AJ53" s="86" t="b">
        <x:v>1</x:v>
      </x:c>
      <x:c r="AK53" s="85" t="n">
        <x:v>90</x:v>
      </x:c>
      <x:c r="AL53" s="85" t="str">
        <x:v>high</x:v>
      </x:c>
      <x:c r="AM53" s="85" t="str">
        <x:v>Address-level geocode for 105 Westwood Pl, Brentwood.</x:v>
      </x:c>
      <x:c r="AN53" t="str">
        <x:v>1.1</x:v>
      </x:c>
      <x:c r="AO53" t="str">
        <x:v>2026-09-03-deduplicated</x:v>
      </x:c>
    </x:row>
    <x:row r="54">
      <x:c r="A54" t="str">
        <x:v>TNDC-054</x:v>
      </x:c>
      <x:c r="B54" t="str">
        <x:v>Lumen Nashville 2</x:v>
      </x:c>
      <x:c r="C54" t="str">
        <x:v>Lumen Technologies</x:v>
      </x:c>
      <x:c r="D54" t="str">
        <x:v>Level 3 Communications | Lumen Technologies</x:v>
      </x:c>
      <x:c r="E54" t="str">
        <x:v>2530 Perimeter Place Drive</x:v>
      </x:c>
      <x:c r="F54" t="str">
        <x:v>Nashville</x:v>
      </x:c>
      <x:c r="G54" t="str">
        <x:v>Davidson</x:v>
      </x:c>
      <x:c r="H54" t="str">
        <x:v>TN</x:v>
      </x:c>
      <x:c r="I54" t="str">
        <x:v>37214</x:v>
      </x:c>
      <x:c r="J54" t="n">
        <x:v>36.14787701</x:v>
      </x:c>
      <x:c r="K54" t="n">
        <x:v>-86.68002591</x:v>
      </x:c>
      <x:c r="L54" t="str">
        <x:v>approximate_site</x:v>
      </x:c>
      <x:c r="M54" t="str">
        <x:v>medium</x:v>
      </x:c>
      <x:c r="N54" t="str">
        <x:v>datacentermap-derived:lumen-nashville2-multilateration</x:v>
      </x:c>
      <x:c r="O54"/>
      <x:c r="P54" s="76" t="b">
        <x:v>0</x:v>
      </x:c>
      <x:c r="Q54" t="str">
        <x:v>operational</x:v>
      </x:c>
      <x:c r="R54" t="str">
        <x:v>operational</x:v>
      </x:c>
      <x:c r="S54" s="76" t="b">
        <x:v>0</x:v>
      </x:c>
      <x:c r="T54" t="str">
        <x:v>data_center</x:v>
      </x:c>
      <x:c r="U54" t="str">
        <x:v>data_center</x:v>
      </x:c>
      <x:c r="V54" t="str">
        <x:v>core_data_center</x:v>
      </x:c>
      <x:c r="W54"/>
      <x:c r="X54" t="n">
        <x:v>30400</x:v>
      </x:c>
      <x:c r="Y54"/>
      <x:c r="Z54"/>
      <x:c r="AA54" t="str">
        <x:v>datacentermap.com | tnecd.com | newschannel5.com | lumen.com</x:v>
      </x:c>
      <x:c r="AB54" t="n">
        <x:v>4</x:v>
      </x:c>
      <x:c r="AC54" t="n">
        <x:v>4</x:v>
      </x:c>
      <x:c r="AD54" t="str">
        <x:v>verification:tndc-054:01 | verification:tndc-054:02 | verification:tndc-054:03 | verification:tndc-054:04</x:v>
      </x:c>
      <x:c r="AE54" s="85" t="str">
        <x:v>https://www.datacentermap.com/usa/tennessee/nashville/ | https://tnecd.com/wp-content/uploads/2018/10/business-services.pdf | https://www.newschannel5.com/news/how-big-are-middle-tennessees-data-centers-a-look-at-facilities-already-operating | https://www.lumen.com/en-us/services/colocation.html | https://www.loopnet.com/property/2530-perimeter-place-dr-nashville-tn-37214/47037-09500011900/ | https://www.datacentermap.com/usa/tennessee/nashville/level3-nashville2/</x:v>
      </x:c>
      <x:c r="AF54" s="123" t="str">
        <x:v>2026-09-04</x:v>
      </x:c>
      <x:c r="AG54" s="85" t="str">
        <x:v>confirmed</x:v>
      </x:c>
      <x:c r="AH54" s="85" t="str">
        <x:v>identified</x:v>
      </x:c>
      <x:c r="AI54" s="85" t="n">
        <x:v>4</x:v>
      </x:c>
      <x:c r="AJ54" s="86" t="b">
        <x:v>1</x:v>
      </x:c>
      <x:c r="AK54" s="85" t="n">
        <x:v>90</x:v>
      </x:c>
      <x:c r="AL54" s="85" t="str">
        <x:v>high</x:v>
      </x:c>
      <x:c r="AM54" s="85" t="str">
        <x:v>Derived approximate-site coordinate from DataCenterMap distances to EdgeConneX Nashville (1.28 mi), Lumen Nashville 4 (4.89 mi), DC BLOX Nashville Campus (5.49 mi), and H5 Nashville II (5.6 mi). Maximum residual is ~0.13 km. Property identity remains independently confirmed at 2530 Perimeter Place Dr / parcel 095-00-0-119.</x:v>
      </x:c>
      <x:c r="AN54" t="str">
        <x:v>1.1</x:v>
      </x:c>
      <x:c r="AO54" t="str">
        <x:v>2026-09-03-deduplicated</x:v>
      </x:c>
    </x:row>
    <x:row r="55">
      <x:c r="A55" t="str">
        <x:v>TNDC-055</x:v>
      </x:c>
      <x:c r="B55" t="str">
        <x:v>Lumen Nashville 4 / Berry Hill</x:v>
      </x:c>
      <x:c r="C55" t="str">
        <x:v>Lumen Technologies</x:v>
      </x:c>
      <x:c r="D55" t="str">
        <x:v>Level 3 Communications | Lumen Technologies</x:v>
      </x:c>
      <x:c r="E55" t="str">
        <x:v>708 Melrose Ave</x:v>
      </x:c>
      <x:c r="F55" t="str">
        <x:v>Nashville</x:v>
      </x:c>
      <x:c r="G55" t="str">
        <x:v>Davidson</x:v>
      </x:c>
      <x:c r="H55" t="str">
        <x:v>TN</x:v>
      </x:c>
      <x:c r="I55" t="str">
        <x:v>37211</x:v>
      </x:c>
      <x:c r="J55" t="n">
        <x:v>36.1202759</x:v>
      </x:c>
      <x:c r="K55" t="n">
        <x:v>-86.7623382</x:v>
      </x:c>
      <x:c r="L55" t="str">
        <x:v>address_or_site</x:v>
      </x:c>
      <x:c r="M55" t="str">
        <x:v>high</x:v>
      </x:c>
      <x:c r="N55" t="str">
        <x:v>colocapacity:lumen-708-melrose</x:v>
      </x:c>
      <x:c r="O55"/>
      <x:c r="P55" s="76" t="b">
        <x:v>0</x:v>
      </x:c>
      <x:c r="Q55" t="str">
        <x:v>operational</x:v>
      </x:c>
      <x:c r="R55" t="str">
        <x:v>operational</x:v>
      </x:c>
      <x:c r="S55" s="76" t="b">
        <x:v>0</x:v>
      </x:c>
      <x:c r="T55" t="str">
        <x:v>data_center</x:v>
      </x:c>
      <x:c r="U55" t="str">
        <x:v>data_center</x:v>
      </x:c>
      <x:c r="V55" t="str">
        <x:v>core_data_center</x:v>
      </x:c>
      <x:c r="W55"/>
      <x:c r="X55" t="n">
        <x:v>2500</x:v>
      </x:c>
      <x:c r="Y55"/>
      <x:c r="Z55"/>
      <x:c r="AA55" t="str">
        <x:v>datacentermap.com | datacenters.com | newschannel5.com | tnecd.com</x:v>
      </x:c>
      <x:c r="AB55" t="n">
        <x:v>4</x:v>
      </x:c>
      <x:c r="AC55" t="n">
        <x:v>4</x:v>
      </x:c>
      <x:c r="AD55" t="str">
        <x:v>verification:tndc-055:01 | verification:tndc-055:02 | verification:tndc-055:03 | verification:tndc-055:04</x:v>
      </x:c>
      <x:c r="AE55" s="85" t="str">
        <x:v>https://www.datacentermap.com/usa/tennessee/nashville/ | https://www.datacenters.com/lumen-berry-hill | https://www.newschannel5.com/news/how-big-are-middle-tennessees-data-centers-a-look-at-facilities-already-operating | https://tnecd.com/wp-content/uploads/2018/10/business-services.pdf | https://www.colocapacity.com/facilities/812/Nashville%20Data%20Center</x:v>
      </x:c>
      <x:c r="AF55" s="123" t="str">
        <x:v>2026-09-04</x:v>
      </x:c>
      <x:c r="AG55" s="85" t="str">
        <x:v>confirmed</x:v>
      </x:c>
      <x:c r="AH55" s="85" t="str">
        <x:v>identified</x:v>
      </x:c>
      <x:c r="AI55" s="85" t="n">
        <x:v>4</x:v>
      </x:c>
      <x:c r="AJ55" s="86" t="b">
        <x:v>1</x:v>
      </x:c>
      <x:c r="AK55" s="85" t="n">
        <x:v>90</x:v>
      </x:c>
      <x:c r="AL55" s="85" t="str">
        <x:v>high</x:v>
      </x:c>
      <x:c r="AM55" s="85" t="str">
        <x:v>Data-center directory record directly identifies Lumen Nashville at 708 Melrose Ave and provides facility coordinates.</x:v>
      </x:c>
      <x:c r="AN55" t="str">
        <x:v>1.1</x:v>
      </x:c>
      <x:c r="AO55" t="str">
        <x:v>2026-09-03-deduplicated</x:v>
      </x:c>
    </x:row>
    <x:row r="56">
      <x:c r="A56" t="str">
        <x:v>TNDC-056</x:v>
      </x:c>
      <x:c r="B56" t="str">
        <x:v>Saragon Nashville</x:v>
      </x:c>
      <x:c r="C56" t="str">
        <x:v>Saragon</x:v>
      </x:c>
      <x:c r="D56" t="str">
        <x:v>Cogent Communications | Saragon</x:v>
      </x:c>
      <x:c r="E56" t="str">
        <x:v>338 Woodycrest Ave</x:v>
      </x:c>
      <x:c r="F56" t="str">
        <x:v>Nashville</x:v>
      </x:c>
      <x:c r="G56" t="str">
        <x:v>Davidson</x:v>
      </x:c>
      <x:c r="H56" t="str">
        <x:v>TN</x:v>
      </x:c>
      <x:c r="I56" t="str">
        <x:v>37210</x:v>
      </x:c>
      <x:c r="J56" t="n">
        <x:v>36.13170626</x:v>
      </x:c>
      <x:c r="K56" t="n">
        <x:v>-86.75324366</x:v>
      </x:c>
      <x:c r="L56" t="str">
        <x:v>approximate_site</x:v>
      </x:c>
      <x:c r="M56" t="str">
        <x:v>medium</x:v>
      </x:c>
      <x:c r="N56" t="str">
        <x:v>datacentermap-derived:saragon-nashville-multilateration</x:v>
      </x:c>
      <x:c r="O56"/>
      <x:c r="P56" s="76" t="b">
        <x:v>0</x:v>
      </x:c>
      <x:c r="Q56" t="str">
        <x:v>operational</x:v>
      </x:c>
      <x:c r="R56" t="str">
        <x:v>operational</x:v>
      </x:c>
      <x:c r="S56" s="76" t="b">
        <x:v>0</x:v>
      </x:c>
      <x:c r="T56" t="str">
        <x:v>data_center</x:v>
      </x:c>
      <x:c r="U56" t="str">
        <x:v>data_center</x:v>
      </x:c>
      <x:c r="V56" t="str">
        <x:v>core_data_center</x:v>
      </x:c>
      <x:c r="W56" t="n">
        <x:v>2.5</x:v>
      </x:c>
      <x:c r="X56" t="n">
        <x:v>27502</x:v>
      </x:c>
      <x:c r="Y56"/>
      <x:c r="Z56"/>
      <x:c r="AA56" t="str">
        <x:v>datacentermap.com | nasdaq.com | newschannel5.com</x:v>
      </x:c>
      <x:c r="AB56" t="n">
        <x:v>3</x:v>
      </x:c>
      <x:c r="AC56" t="n">
        <x:v>3</x:v>
      </x:c>
      <x:c r="AD56" t="str">
        <x:v>verification:tndc-056:01 | verification:tndc-056:02 | verification:tndc-056:03</x:v>
      </x:c>
      <x:c r="AE56" s="85" t="str">
        <x:v>https://www.datacentermap.com/usa/tennessee/nashville/cogent-data-center-nashville/ | https://www.nasdaq.com/press-release/saragon-launches-new-us-data-center-company-purpose-built-ai-inference-and-edge | https://www.newschannel5.com/news/how-big-are-middle-tennessees-data-centers-a-look-at-facilities-already-operating | https://www.loopnet.com/property/338-woodycrest-ave-nashville-tn-37210/47037-10512003800/</x:v>
      </x:c>
      <x:c r="AF56" s="123" t="str">
        <x:v>2026-09-04</x:v>
      </x:c>
      <x:c r="AG56" s="85" t="str">
        <x:v>confirmed</x:v>
      </x:c>
      <x:c r="AH56" s="85" t="str">
        <x:v>identified</x:v>
      </x:c>
      <x:c r="AI56" s="85" t="n">
        <x:v>3</x:v>
      </x:c>
      <x:c r="AJ56" s="86" t="b">
        <x:v>1</x:v>
      </x:c>
      <x:c r="AK56" s="85" t="n">
        <x:v>90</x:v>
      </x:c>
      <x:c r="AL56" s="85" t="str">
        <x:v>high</x:v>
      </x:c>
      <x:c r="AM56" s="85" t="str">
        <x:v>Derived approximate-site coordinate from DataCenterMap distances to Lumen Nashville 4 (0.92 mi), H5 Nashville II (2.55 mi), DC BLOX Nashville Campus (2.85 mi), EdgeConneX Nashville (2.99 mi), and Uniti Nashville (3.35 mi). Residuals are ~0.01-0.04 km. Address/parcel identity is independently confirmed at 338 Woodycrest Ave / parcel 105-12-0-038.</x:v>
      </x:c>
      <x:c r="AN56" t="str">
        <x:v>1.1</x:v>
      </x:c>
      <x:c r="AO56" t="str">
        <x:v>2026-09-03-deduplicated</x:v>
      </x:c>
    </x:row>
    <x:row r="57">
      <x:c r="A57" t="str">
        <x:v>TNDC-057</x:v>
      </x:c>
      <x:c r="B57" t="str">
        <x:v>WorldSpice Data Center</x:v>
      </x:c>
      <x:c r="C57" t="str">
        <x:v>WorldSpice Technologies</x:v>
      </x:c>
      <x:c r="D57" t="str">
        <x:v>WorldSpice Technologies</x:v>
      </x:c>
      <x:c r="E57" t="str">
        <x:v>5050 Poplar Ave, Suite 170</x:v>
      </x:c>
      <x:c r="F57" t="str">
        <x:v>Memphis</x:v>
      </x:c>
      <x:c r="G57" t="str">
        <x:v>Shelby</x:v>
      </x:c>
      <x:c r="H57" t="str">
        <x:v>TN</x:v>
      </x:c>
      <x:c r="I57" t="str">
        <x:v>38157</x:v>
      </x:c>
      <x:c r="J57" t="n">
        <x:v>35.1132403</x:v>
      </x:c>
      <x:c r="K57" t="n">
        <x:v>-89.8928537</x:v>
      </x:c>
      <x:c r="L57" t="str">
        <x:v>address_or_site</x:v>
      </x:c>
      <x:c r="M57" t="str">
        <x:v>high</x:v>
      </x:c>
      <x:c r="N57" t="str">
        <x:v>whereorg:5050-poplar-ave</x:v>
      </x:c>
      <x:c r="O57"/>
      <x:c r="P57" s="76" t="b">
        <x:v>0</x:v>
      </x:c>
      <x:c r="Q57" t="str">
        <x:v>operational</x:v>
      </x:c>
      <x:c r="R57" t="str">
        <x:v>operational</x:v>
      </x:c>
      <x:c r="S57" s="76" t="b">
        <x:v>0</x:v>
      </x:c>
      <x:c r="T57" t="str">
        <x:v>data_center</x:v>
      </x:c>
      <x:c r="U57" t="str">
        <x:v>data_center</x:v>
      </x:c>
      <x:c r="V57" t="str">
        <x:v>core_data_center</x:v>
      </x:c>
      <x:c r="W57"/>
      <x:c r="X57"/>
      <x:c r="Y57"/>
      <x:c r="Z57"/>
      <x:c r="AA57" t="str">
        <x:v>worldspice.net | datacentermap.com | tnecd.com | memphistn.gov</x:v>
      </x:c>
      <x:c r="AB57" t="n">
        <x:v>4</x:v>
      </x:c>
      <x:c r="AC57" t="n">
        <x:v>4</x:v>
      </x:c>
      <x:c r="AD57" t="str">
        <x:v>verification:tndc-057:01 | verification:tndc-057:02 | verification:tndc-057:03 | verification:tndc-057:04</x:v>
      </x:c>
      <x:c r="AE57" s="85" t="str">
        <x:v>https://www.worldspice.net/contact-memphis-isp.html | https://www.datacentermap.com/usa/tennessee/memphis/ | https://tnecd.com/wp-content/uploads/2018/10/business-services.pdf | https://memphistn.gov/wp-content/uploads/2025/01/Planning-Zoning-Committee-Documents-10.01.2024_Part1.pdf | https://www.whereorg.com/mark-d-winborn-phd-15301380</x:v>
      </x:c>
      <x:c r="AF57" s="123" t="str">
        <x:v>2026-09-04</x:v>
      </x:c>
      <x:c r="AG57" s="85" t="str">
        <x:v>confirmed</x:v>
      </x:c>
      <x:c r="AH57" s="85" t="str">
        <x:v>identified</x:v>
      </x:c>
      <x:c r="AI57" s="85" t="n">
        <x:v>4</x:v>
      </x:c>
      <x:c r="AJ57" s="86" t="b">
        <x:v>1</x:v>
      </x:c>
      <x:c r="AK57" s="85" t="n">
        <x:v>90</x:v>
      </x:c>
      <x:c r="AL57" s="85" t="str">
        <x:v>high</x:v>
      </x:c>
      <x:c r="AM57" s="85" t="str">
        <x:v>Address-level coordinate for 5050 Poplar Ave; suite-level internal position cannot be distinguished, so building coordinate is used.</x:v>
      </x:c>
      <x:c r="AN57" t="str">
        <x:v>1.1</x:v>
      </x:c>
      <x:c r="AO57" t="str">
        <x:v>2026-09-03-deduplicated</x:v>
      </x:c>
    </x:row>
    <x:row r="58">
      <x:c r="A58" t="str">
        <x:v>TNDC-058</x:v>
      </x:c>
      <x:c r="B58" t="str">
        <x:v>Connect Data Centers Memphis</x:v>
      </x:c>
      <x:c r="C58" t="str">
        <x:v>Connect Data Centers</x:v>
      </x:c>
      <x:c r="D58" t="str">
        <x:v>Connect Data Centers | Oppidan</x:v>
      </x:c>
      <x:c r="E58" t="str">
        <x:v>3900 S Mendenhall Rd</x:v>
      </x:c>
      <x:c r="F58" t="str">
        <x:v>Memphis</x:v>
      </x:c>
      <x:c r="G58" t="str">
        <x:v>Shelby</x:v>
      </x:c>
      <x:c r="H58" t="str">
        <x:v>TN</x:v>
      </x:c>
      <x:c r="I58" t="str">
        <x:v>38115</x:v>
      </x:c>
      <x:c r="J58" t="n">
        <x:v>35.0417724</x:v>
      </x:c>
      <x:c r="K58" t="n">
        <x:v>-89.8845309</x:v>
      </x:c>
      <x:c r="L58" t="str">
        <x:v>address_or_site</x:v>
      </x:c>
      <x:c r="M58" t="str">
        <x:v>high</x:v>
      </x:c>
      <x:c r="N58" t="str">
        <x:v>geocords:3900-s-mendenhall-rd</x:v>
      </x:c>
      <x:c r="O58"/>
      <x:c r="P58" s="76" t="b">
        <x:v>0</x:v>
      </x:c>
      <x:c r="Q58" t="str">
        <x:v>operational</x:v>
      </x:c>
      <x:c r="R58" t="str">
        <x:v>operational</x:v>
      </x:c>
      <x:c r="S58" s="76" t="b">
        <x:v>0</x:v>
      </x:c>
      <x:c r="T58" t="str">
        <x:v>data_center</x:v>
      </x:c>
      <x:c r="U58" t="str">
        <x:v>data_center</x:v>
      </x:c>
      <x:c r="V58" t="str">
        <x:v>core_data_center</x:v>
      </x:c>
      <x:c r="W58"/>
      <x:c r="X58" t="n">
        <x:v>99000</x:v>
      </x:c>
      <x:c r="Y58"/>
      <x:c r="Z58"/>
      <x:c r="AA58" t="str">
        <x:v>registry.deploy.report | baxtel.com | datacentermap.com | datacenterdynamics.com</x:v>
      </x:c>
      <x:c r="AB58" t="n">
        <x:v>4</x:v>
      </x:c>
      <x:c r="AC58" t="n">
        <x:v>4</x:v>
      </x:c>
      <x:c r="AD58" t="str">
        <x:v>verification:tndc-058:01 | verification:tndc-058:02 | verification:tndc-058:03 | verification:tndc-058:04</x:v>
      </x:c>
      <x:c r="AE58" s="85" t="str">
        <x:v>https://registry.deploy.report/datacenters/facilities/connect-data-centers-memphis-tn | https://baxtel.com/data-center/connect-data-centers-memphis-tn | https://www.datacentermap.com/usa/tennessee/memphis/connect-memphis/ | https://www.datacenterdynamics.com/en/news/oppidan-files-for-99000-square-foot-data-center-in-memphis-tennessee/ | https://www.geocords.com/place/3900-s-mendenhall-rd-memphis-tn-38115-usa-30408/</x:v>
      </x:c>
      <x:c r="AF58" s="123" t="str">
        <x:v>2026-09-04</x:v>
      </x:c>
      <x:c r="AG58" s="85" t="str">
        <x:v>confirmed</x:v>
      </x:c>
      <x:c r="AH58" s="85" t="str">
        <x:v>identified</x:v>
      </x:c>
      <x:c r="AI58" s="85" t="n">
        <x:v>4</x:v>
      </x:c>
      <x:c r="AJ58" s="86" t="b">
        <x:v>1</x:v>
      </x:c>
      <x:c r="AK58" s="85" t="n">
        <x:v>90</x:v>
      </x:c>
      <x:c r="AL58" s="85" t="str">
        <x:v>high</x:v>
      </x:c>
      <x:c r="AM58" s="85" t="str">
        <x:v>Direct address geocode for 3900 S Mendenhall Rd.</x:v>
      </x:c>
      <x:c r="AN58" t="str">
        <x:v>1.1</x:v>
      </x:c>
      <x:c r="AO58" t="str">
        <x:v>2026-09-03-deduplicated</x:v>
      </x:c>
    </x:row>
    <x:row r="59">
      <x:c r="A59" t="str">
        <x:v>TNDC-059</x:v>
      </x:c>
      <x:c r="B59" t="str">
        <x:v>5C MEM01</x:v>
      </x:c>
      <x:c r="C59" t="str">
        <x:v>5C</x:v>
      </x:c>
      <x:c r="D59" t="str">
        <x:v>5C</x:v>
      </x:c>
      <x:c r="E59" t="str">
        <x:v>4280 Getwell Rd</x:v>
      </x:c>
      <x:c r="F59" t="str">
        <x:v>Memphis</x:v>
      </x:c>
      <x:c r="G59" t="str">
        <x:v>Shelby</x:v>
      </x:c>
      <x:c r="H59" t="str">
        <x:v>TN</x:v>
      </x:c>
      <x:c r="I59" t="str">
        <x:v>38118</x:v>
      </x:c>
      <x:c r="J59" t="n">
        <x:v>35.0327269</x:v>
      </x:c>
      <x:c r="K59" t="n">
        <x:v>-89.9354893</x:v>
      </x:c>
      <x:c r="L59" t="str">
        <x:v>approximate_site</x:v>
      </x:c>
      <x:c r="M59" t="str">
        <x:v>medium</x:v>
      </x:c>
      <x:c r="N59" t="str">
        <x:v>datacentermap-derived:5c-mem01-multilateration</x:v>
      </x:c>
      <x:c r="O59"/>
      <x:c r="P59" s="76" t="b">
        <x:v>0</x:v>
      </x:c>
      <x:c r="Q59" t="str">
        <x:v>under_construction</x:v>
      </x:c>
      <x:c r="R59" t="str">
        <x:v>under_construction</x:v>
      </x:c>
      <x:c r="S59" s="76" t="b">
        <x:v>0</x:v>
      </x:c>
      <x:c r="T59" t="str">
        <x:v>data_center</x:v>
      </x:c>
      <x:c r="U59" t="str">
        <x:v>data_center</x:v>
      </x:c>
      <x:c r="V59" t="str">
        <x:v>core_data_center</x:v>
      </x:c>
      <x:c r="W59" t="n">
        <x:v>20</x:v>
      </x:c>
      <x:c r="X59"/>
      <x:c r="Y59" t="n">
        <x:v>57.641</x:v>
      </x:c>
      <x:c r="Z59"/>
      <x:c r="AA59" t="str">
        <x:v>5c.ai | assessormelvinburgess.com | shelbytnhealth.com | datacenterdynamics.com | datacentermap.com | baxtel.com | registry.deploy.report</x:v>
      </x:c>
      <x:c r="AB59" t="n">
        <x:v>7</x:v>
      </x:c>
      <x:c r="AC59" t="n">
        <x:v>9</x:v>
      </x:c>
      <x:c r="AD59" t="str">
        <x:v>verification:tndc-059:01 | verification:tndc-059:02 | verification:tndc-059:03 | verification:tndc-059:04 | verification:tndc-059:05 | verification:tndc-059:06 | verification:tndc-059:07 | verification:tndc-059:08 | verification:tndc-059:09</x:v>
      </x:c>
      <x:c r="AE59" s="85" t="str">
        <x:v>https://5c.ai/datacenters | https://5c.ai/ | https://5c.ai/news/5c-secures-more-than-usd-1-4-billion-to-power-north-americas-ai-infrastructure | https://www.assessormelvinburgess.com/propertyDetails?IR=true&amp;parcelid=073101++00119 | https://www.shelbytnhealth.com/DocumentCenter/View/7588 | https://www.datacenterdynamics.com/en/news/5c-plots-data-center-at-former-freds-site-in-memphis-tennessee/ | https://www.datacentermap.com/usa/tennessee/memphis/5cdc-memphis-mem01/ | https://baxtel.com/data-center/5cdc-memphis-tn | https://registry.deploy.report/datacenters/facilities/5c-memphis-getwell-road-tn</x:v>
      </x:c>
      <x:c r="AF59" s="123" t="str">
        <x:v>2026-09-07</x:v>
      </x:c>
      <x:c r="AG59" s="85" t="str">
        <x:v>confirmed</x:v>
      </x:c>
      <x:c r="AH59" s="85" t="str">
        <x:v>identified</x:v>
      </x:c>
      <x:c r="AI59" s="85" t="n">
        <x:v>7</x:v>
      </x:c>
      <x:c r="AJ59" s="86" t="b">
        <x:v>1</x:v>
      </x:c>
      <x:c r="AK59" s="85" t="n">
        <x:v>82</x:v>
      </x:c>
      <x:c r="AL59" s="85" t="str">
        <x:v>medium</x:v>
      </x:c>
      <x:c r="AM59" s="85" t="str">
        <x:v>Retain 4280 Getwell Rd as the facility-facing address supported by the current facility directory and the existing distance-derived site point. Shelby County's 4300 Getwell Rd notice is retained as related broader-site permit/property evidence, not silently substituted as the facility address.</x:v>
      </x:c>
      <x:c r="AN59" t="str">
        <x:v>1.1</x:v>
      </x:c>
      <x:c r="AO59" t="str">
        <x:v>2026-09-03-deduplicated</x:v>
      </x:c>
    </x:row>
    <x:row r="60">
      <x:c r="A60" t="str">
        <x:v>TNDC-060</x:v>
      </x:c>
      <x:c r="B60" t="str">
        <x:v>The STEM Practice Memphis</x:v>
      </x:c>
      <x:c r="C60" t="str">
        <x:v>The STEM Practice</x:v>
      </x:c>
      <x:c r="D60" t="str">
        <x:v>The STEM Practice</x:v>
      </x:c>
      <x:c r="E60" t="str">
        <x:v>1341 Sycamore View Rd</x:v>
      </x:c>
      <x:c r="F60" t="str">
        <x:v>Memphis</x:v>
      </x:c>
      <x:c r="G60" t="str">
        <x:v>Shelby</x:v>
      </x:c>
      <x:c r="H60" t="str">
        <x:v>TN</x:v>
      </x:c>
      <x:c r="I60" t="str">
        <x:v>38134</x:v>
      </x:c>
      <x:c r="J60" t="n">
        <x:v>35.161945</x:v>
      </x:c>
      <x:c r="K60" t="n">
        <x:v>-89.860031</x:v>
      </x:c>
      <x:c r="L60" t="str">
        <x:v>address_or_site</x:v>
      </x:c>
      <x:c r="M60" t="str">
        <x:v>high</x:v>
      </x:c>
      <x:c r="N60" t="str">
        <x:v>merchantcircle:1341-sycamore-view-rd</x:v>
      </x:c>
      <x:c r="O60"/>
      <x:c r="P60" s="76" t="b">
        <x:v>0</x:v>
      </x:c>
      <x:c r="Q60" t="str">
        <x:v>proposed</x:v>
      </x:c>
      <x:c r="R60" t="str">
        <x:v>proposed</x:v>
      </x:c>
      <x:c r="S60" s="76" t="b">
        <x:v>0</x:v>
      </x:c>
      <x:c r="T60" t="str">
        <x:v>data_center</x:v>
      </x:c>
      <x:c r="U60" t="str">
        <x:v>data_center</x:v>
      </x:c>
      <x:c r="V60" t="str">
        <x:v>core_data_center</x:v>
      </x:c>
      <x:c r="W60" t="n">
        <x:v>9</x:v>
      </x:c>
      <x:c r="X60" t="n">
        <x:v>38500</x:v>
      </x:c>
      <x:c r="Y60"/>
      <x:c r="Z60"/>
      <x:c r="AA60" t="str">
        <x:v>datacenterdynamics.com | datacentermap.com | dailymemphian.com</x:v>
      </x:c>
      <x:c r="AB60" t="n">
        <x:v>3</x:v>
      </x:c>
      <x:c r="AC60" t="n">
        <x:v>3</x:v>
      </x:c>
      <x:c r="AD60" t="str">
        <x:v>verification:tndc-060:01 | verification:tndc-060:02 | verification:tndc-060:03</x:v>
      </x:c>
      <x:c r="AE60" s="85" t="str">
        <x:v>https://www.datacenterdynamics.com/en/news/data-center-acquired-in-memphis-set-to-serve-oracle-cloud-partner/ | https://www.datacentermap.com/usa/tennessee/memphis/the-stem-practice-memphis/ | https://dailymemphian.com/subscriber/section/business/article/58881/sentrynet-building-to-become-ai-data-center | https://www.merchantcircle.com/priority-alarms-systems1-memphis-tn</x:v>
      </x:c>
      <x:c r="AF60" s="123" t="str">
        <x:v>2026-09-04</x:v>
      </x:c>
      <x:c r="AG60" s="85" t="str">
        <x:v>review</x:v>
      </x:c>
      <x:c r="AH60" s="85" t="str">
        <x:v>identified</x:v>
      </x:c>
      <x:c r="AI60" s="85" t="n">
        <x:v>3</x:v>
      </x:c>
      <x:c r="AJ60" s="86" t="b">
        <x:v>1</x:v>
      </x:c>
      <x:c r="AK60" s="85" t="n">
        <x:v>90</x:v>
      </x:c>
      <x:c r="AL60" s="85" t="str">
        <x:v>high</x:v>
      </x:c>
      <x:c r="AM60" s="85" t="str">
        <x:v>Address-level geocode for 1341 Sycamore View Rd; corroborates independent Nextdoor coordinate at the same address.</x:v>
      </x:c>
      <x:c r="AN60" t="str">
        <x:v>1.1</x:v>
      </x:c>
      <x:c r="AO60" t="str">
        <x:v>2026-09-03-deduplicated</x:v>
      </x:c>
    </x:row>
    <x:row r="61">
      <x:c r="A61" t="str">
        <x:v>TNDC-061</x:v>
      </x:c>
      <x:c r="B61" t="str">
        <x:v>Humboldt / Gibson County Crypto Mining Facility</x:v>
      </x:c>
      <x:c r="C61" t="str">
        <x:v>Undisclosed private developer (Humboldt Utilities customer)</x:v>
      </x:c>
      <x:c r="D61"/>
      <x:c r="E61" t="str">
        <x:v>Gibson County Industrial Park vicinity (2725 N Central Ave reference site)</x:v>
      </x:c>
      <x:c r="F61" t="str">
        <x:v>Humboldt</x:v>
      </x:c>
      <x:c r="G61" t="str">
        <x:v>Gibson</x:v>
      </x:c>
      <x:c r="H61" t="str">
        <x:v>TN</x:v>
      </x:c>
      <x:c r="I61" t="str">
        <x:v>38343</x:v>
      </x:c>
      <x:c r="J61" t="n">
        <x:v>35.842805</x:v>
      </x:c>
      <x:c r="K61" t="n">
        <x:v>-88.921847</x:v>
      </x:c>
      <x:c r="L61" t="str">
        <x:v>approximate_site</x:v>
      </x:c>
      <x:c r="M61" t="str">
        <x:v>medium</x:v>
      </x:c>
      <x:c r="N61" t="str">
        <x:v>wtia:gibson-county-industrial-park-south</x:v>
      </x:c>
      <x:c r="O61"/>
      <x:c r="P61" s="76" t="b">
        <x:v>0</x:v>
      </x:c>
      <x:c r="Q61" t="str">
        <x:v>under_construction</x:v>
      </x:c>
      <x:c r="R61" t="str">
        <x:v>under_construction</x:v>
      </x:c>
      <x:c r="S61" s="76" t="b">
        <x:v>0</x:v>
      </x:c>
      <x:c r="T61" t="str">
        <x:v>crypto_mining</x:v>
      </x:c>
      <x:c r="U61" t="str">
        <x:v>crypto_mining</x:v>
      </x:c>
      <x:c r="V61" t="str">
        <x:v>crypto_mining</x:v>
      </x:c>
      <x:c r="W61" t="n">
        <x:v>15</x:v>
      </x:c>
      <x:c r="X61"/>
      <x:c r="Y61" t="n">
        <x:v>2</x:v>
      </x:c>
      <x:c r="Z61"/>
      <x:c r="AA61" t="str">
        <x:v>humboldtchamber.com | registry.deploy.report</x:v>
      </x:c>
      <x:c r="AB61" t="n">
        <x:v>2</x:v>
      </x:c>
      <x:c r="AC61" t="n">
        <x:v>2</x:v>
      </x:c>
      <x:c r="AD61" t="str">
        <x:v>verification:tndc-061:01 | verification:tndc-061:02</x:v>
      </x:c>
      <x:c r="AE61" s="85" t="str">
        <x:v>https://humboldtchamber.com/local-officials-release-details-on-humboldt-data-center/ | https://registry.deploy.report/datacenters/facilities/humboldt-gibson-county-crypto-mine-tn | https://www.wtia.org/images/uploads/content_files/Gibson-county-south.pdf</x:v>
      </x:c>
      <x:c r="AF61" s="123" t="str">
        <x:v>2026-09-04</x:v>
      </x:c>
      <x:c r="AG61" s="85" t="str">
        <x:v>review</x:v>
      </x:c>
      <x:c r="AH61" s="85" t="str">
        <x:v>undisclosed</x:v>
      </x:c>
      <x:c r="AI61" s="85" t="n">
        <x:v>2</x:v>
      </x:c>
      <x:c r="AJ61" s="86" t="b">
        <x:v>1</x:v>
      </x:c>
      <x:c r="AK61" s="85" t="n">
        <x:v>82</x:v>
      </x:c>
      <x:c r="AL61" s="85" t="str">
        <x:v>medium</x:v>
      </x:c>
      <x:c r="AM61" s="85" t="str">
        <x:v>Public reporting places the crypto facility near/just outside Gibson County Industrial Park. WTIA publishes WGS84 coordinates for the adjacent South Site at 2725 N Central Ave. This coordinate is a vicinity/site anchor, not the exact 2-acre crypto parcel.</x:v>
      </x:c>
      <x:c r="AN61" t="str">
        <x:v>1.1</x:v>
      </x:c>
      <x:c r="AO61" t="str">
        <x:v>2026-09-03-deduplicated</x:v>
      </x:c>
    </x:row>
    <x:row r="62">
      <x:c r="A62" t="str">
        <x:v>TNDC-062</x:v>
      </x:c>
      <x:c r="B62" t="str">
        <x:v>Windstream Bristol Data Center</x:v>
      </x:c>
      <x:c r="C62" t="str">
        <x:v>Windstream</x:v>
      </x:c>
      <x:c r="D62" t="str">
        <x:v>Windstream</x:v>
      </x:c>
      <x:c r="E62" t="str">
        <x:v>112 6th St</x:v>
      </x:c>
      <x:c r="F62" t="str">
        <x:v>Bristol</x:v>
      </x:c>
      <x:c r="G62" t="str">
        <x:v>Sullivan</x:v>
      </x:c>
      <x:c r="H62" t="str">
        <x:v>TN</x:v>
      </x:c>
      <x:c r="I62" t="str">
        <x:v>37620</x:v>
      </x:c>
      <x:c r="J62" t="n">
        <x:v>36.593557</x:v>
      </x:c>
      <x:c r="K62" t="n">
        <x:v>-82.183509</x:v>
      </x:c>
      <x:c r="L62" t="str">
        <x:v>address_or_site</x:v>
      </x:c>
      <x:c r="M62" t="str">
        <x:v>high</x:v>
      </x:c>
      <x:c r="N62" t="str">
        <x:v>merchantcircle:112-6th-st-bristol | whereorg:112-6th-st-bristol</x:v>
      </x:c>
      <x:c r="O62" t="n">
        <x:v>0.044</x:v>
      </x:c>
      <x:c r="P62" s="76" t="b">
        <x:v>0</x:v>
      </x:c>
      <x:c r="Q62" t="str">
        <x:v>operational</x:v>
      </x:c>
      <x:c r="R62" t="str">
        <x:v>operational</x:v>
      </x:c>
      <x:c r="S62" s="76" t="b">
        <x:v>0</x:v>
      </x:c>
      <x:c r="T62" t="str">
        <x:v>data_center</x:v>
      </x:c>
      <x:c r="U62" t="str">
        <x:v>data_center</x:v>
      </x:c>
      <x:c r="V62" t="str">
        <x:v>core_data_center</x:v>
      </x:c>
      <x:c r="W62"/>
      <x:c r="X62" t="n">
        <x:v>85247</x:v>
      </x:c>
      <x:c r="Y62" t="n">
        <x:v>1.5</x:v>
      </x:c>
      <x:c r="Z62"/>
      <x:c r="AA62" t="str">
        <x:v>datacentermap.com | datacenters.com | loopnet.com</x:v>
      </x:c>
      <x:c r="AB62" t="n">
        <x:v>3</x:v>
      </x:c>
      <x:c r="AC62" t="n">
        <x:v>3</x:v>
      </x:c>
      <x:c r="AD62" t="str">
        <x:v>datacentermap:windstream-bristol | datacenters.com:windstream-bristol-tn | loopnet:35214864</x:v>
      </x:c>
      <x:c r="AE62" t="str">
        <x:v>https://www.datacentermap.com/usa/tennessee/bristol/windstream-bristol/ | https://www.datacenters.com/windstream-bristol-tn | https://www.loopnet.com/Listing/112-6th-St-Bristol-TN/35214864/ | https://www.merchantcircle.com/tn-bristol/autos/rental/rentals | https://www.whereorg.com/highlander-ambl-service-15076797</x:v>
      </x:c>
      <x:c r="AF62" t="str">
        <x:v>2026-09-03</x:v>
      </x:c>
      <x:c r="AG62" t="str">
        <x:v>confirmed</x:v>
      </x:c>
      <x:c r="AH62" t="str">
        <x:v>identified</x:v>
      </x:c>
      <x:c r="AI62" t="n">
        <x:v>3</x:v>
      </x:c>
      <x:c r="AJ62" s="76" t="b">
        <x:v>1</x:v>
      </x:c>
      <x:c r="AK62" t="n">
        <x:v>82</x:v>
      </x:c>
      <x:c r="AL62" t="str">
        <x:v>high</x:v>
      </x:c>
      <x:c r="AM62" t="str">
        <x:v>Address-level coordinates independently supported by MerchantCircle and WhereOrg for 112 6th St; source spread ≈ 44 m.</x:v>
      </x:c>
      <x:c r="AN62" t="str">
        <x:v>1.1</x:v>
      </x:c>
      <x:c r="AO62" t="str">
        <x:v>2026-09-03-deduplicated</x:v>
      </x:c>
    </x:row>
  </x:sheetData>
  <x:dataValidations count="17">
    <x:dataValidation type="list" sqref="M2:M1000">
      <x:formula1>"high,medium,low"</x:formula1>
    </x:dataValidation>
    <x:dataValidation type="list" sqref="Q2:Q1000">
      <x:formula1>"operational,under_construction,proposed,expanding,cancelled"</x:formula1>
    </x:dataValidation>
    <x:dataValidation type="list" sqref="AG2:AG1000">
      <x:formula1>"confirmed,candidate,review"</x:formula1>
    </x:dataValidation>
    <x:dataValidation type="list" sqref="AL2:AL1000">
      <x:formula1>"high,medium,low"</x:formula1>
    </x:dataValidation>
    <x:dataValidation type="list" sqref="H2:H2000">
      <x:formula1>"TN"</x:formula1>
    </x:dataValidation>
    <x:dataValidation type="decimal" operator="between" sqref="J2:J2000">
      <x:formula1>-90</x:formula1>
      <x:formula2>90</x:formula2>
    </x:dataValidation>
    <x:dataValidation type="decimal" operator="between" sqref="K2:K2000">
      <x:formula1>-180</x:formula1>
      <x:formula2>180</x:formula2>
    </x:dataValidation>
    <x:dataValidation type="list" sqref="L2:L2000">
      <x:formula1>"exact,address_or_site,approximate_site,approximate,area_or_city"</x:formula1>
    </x:dataValidation>
    <x:dataValidation type="list" sqref="M2:M2000">
      <x:formula1>"high,medium,low"</x:formula1>
    </x:dataValidation>
    <x:dataValidation type="list" sqref="P2:P2000">
      <x:formula1>"true,false"</x:formula1>
    </x:dataValidation>
    <x:dataValidation type="list" sqref="Q2:Q2000">
      <x:formula1>"operational,under_construction,proposed,expanding,cancelled"</x:formula1>
    </x:dataValidation>
    <x:dataValidation type="list" sqref="S2:S2000">
      <x:formula1>"true,false"</x:formula1>
    </x:dataValidation>
    <x:dataValidation type="list" sqref="T2:T2000">
      <x:formula1>"data_center,interconnection_facility,crypto_mining"</x:formula1>
    </x:dataValidation>
    <x:dataValidation type="list" sqref="V2:V2000">
      <x:formula1>"core_data_center,crypto_mining"</x:formula1>
    </x:dataValidation>
    <x:dataValidation type="list" sqref="AG2:AG2000">
      <x:formula1>"confirmed,candidate,review"</x:formula1>
    </x:dataValidation>
    <x:dataValidation type="list" sqref="AJ2:AJ2000">
      <x:formula1>"true,false"</x:formula1>
    </x:dataValidation>
    <x:dataValidation type="list" sqref="AL2:AL2000">
      <x:formula1>"high,medium,low"</x:formula1>
    </x:dataValidation>
  </x:dataValidations>
  <x:pageMargins left="0.7" right="0.7" top="0.75" bottom="0.75" header="0.3" footer="0.3"/>
  <x:tableParts count="1">
    <x:tablePart xmlns:r="http://schemas.openxmlformats.org/officeDocument/2006/relationships" r:id="Rd675d4dec05a45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44" hidden="0" customWidth="1"/>
    <x:col min="3" max="3" width="45" hidden="0" customWidth="1"/>
    <x:col min="4" max="4" width="17" hidden="0" customWidth="1"/>
    <x:col min="5" max="5" width="34" hidden="0" customWidth="1"/>
    <x:col min="6" max="6" width="17" hidden="0" customWidth="1"/>
    <x:col min="7" max="7" width="34" hidden="0" customWidth="1"/>
    <x:col min="8" max="8" width="17" hidden="0" customWidth="1"/>
    <x:col min="9" max="9" width="17" hidden="0" customWidth="1"/>
    <x:col min="10" max="10" width="17" hidden="0" customWidth="1"/>
    <x:col min="11" max="11" width="17" hidden="0" customWidth="1"/>
    <x:col min="12" max="12" width="17" hidden="0" customWidth="1"/>
    <x:col min="13" max="13" width="15" hidden="0" customWidth="1"/>
    <x:col min="14" max="14" width="15" hidden="0" customWidth="1"/>
    <x:col min="15" max="15" width="17" hidden="0" customWidth="1"/>
    <x:col min="16" max="16" width="17" hidden="0" customWidth="1"/>
    <x:col min="17" max="17" width="55" hidden="0" customWidth="1"/>
    <x:col min="18" max="18" width="17" hidden="0" customWidth="1"/>
    <x:col min="19" max="19" width="30"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22" hidden="0" customWidth="1"/>
    <x:col min="35" max="35" width="22" hidden="0" customWidth="1"/>
    <x:col min="36" max="36" width="60" hidden="0" customWidth="1"/>
    <x:col min="37" max="37" width="60" hidden="0" customWidth="1"/>
    <x:col min="38" max="38" width="60" hidden="0" customWidth="1"/>
    <x:col min="39" max="39" width="55" hidden="0" customWidth="1"/>
    <x:col min="40" max="40" width="17" hidden="0" customWidth="1"/>
    <x:col min="41" max="41" width="17" hidden="0" customWidth="1"/>
    <x:col min="42" max="42" width="34" hidden="0" customWidth="1"/>
    <x:col min="43" max="43" width="30" hidden="0" customWidth="1"/>
    <x:col min="44" max="44" width="30" hidden="0" customWidth="1"/>
  </x:cols>
  <x:sheetData>
    <x:row r="1" ht="32" customHeight="1">
      <x:c r="A1" s="9" t="str">
        <x:v>source</x:v>
      </x:c>
      <x:c r="B1" s="10" t="str">
        <x:v>source_record_id</x:v>
      </x:c>
      <x:c r="C1" s="10" t="str">
        <x:v>facility_name</x:v>
      </x:c>
      <x:c r="D1" s="10" t="str">
        <x:v>aliases</x:v>
      </x:c>
      <x:c r="E1" s="10" t="str">
        <x:v>operator</x:v>
      </x:c>
      <x:c r="F1" s="10" t="str">
        <x:v>tenant</x:v>
      </x:c>
      <x:c r="G1" s="10" t="str">
        <x:v>address</x:v>
      </x:c>
      <x:c r="H1" s="10" t="str">
        <x:v>address2</x:v>
      </x:c>
      <x:c r="I1" s="10" t="str">
        <x:v>city</x:v>
      </x:c>
      <x:c r="J1" s="10" t="str">
        <x:v>county</x:v>
      </x:c>
      <x:c r="K1" s="10" t="str">
        <x:v>state</x:v>
      </x:c>
      <x:c r="L1" s="10" t="str">
        <x:v>postal_code</x:v>
      </x:c>
      <x:c r="M1" s="10" t="str">
        <x:v>latitude</x:v>
      </x:c>
      <x:c r="N1" s="10" t="str">
        <x:v>longitude</x:v>
      </x:c>
      <x:c r="O1" s="10" t="str">
        <x:v>location_precision</x:v>
      </x:c>
      <x:c r="P1" s="10" t="str">
        <x:v>location_confidence</x:v>
      </x:c>
      <x:c r="Q1" s="10" t="str">
        <x:v>location_determination</x:v>
      </x:c>
      <x:c r="R1" s="10" t="str">
        <x:v>status_raw</x:v>
      </x:c>
      <x:c r="S1" s="10" t="str">
        <x:v>status_normalized</x:v>
      </x:c>
      <x:c r="T1" s="10" t="str">
        <x:v>facility_type</x:v>
      </x:c>
      <x:c r="U1" s="10" t="str">
        <x:v>purpose</x:v>
      </x:c>
      <x:c r="V1" s="10" t="str">
        <x:v>capacity_mw</x:v>
      </x:c>
      <x:c r="W1" s="10" t="str">
        <x:v>capacity_mw_low</x:v>
      </x:c>
      <x:c r="X1" s="10" t="str">
        <x:v>capacity_mw_high</x:v>
      </x:c>
      <x:c r="Y1" s="10" t="str">
        <x:v>square_feet</x:v>
      </x:c>
      <x:c r="Z1" s="10" t="str">
        <x:v>property_acres</x:v>
      </x:c>
      <x:c r="AA1" s="10" t="str">
        <x:v>number_buildings</x:v>
      </x:c>
      <x:c r="AB1" s="10" t="str">
        <x:v>number_generators</x:v>
      </x:c>
      <x:c r="AC1" s="10" t="str">
        <x:v>investment_usd</x:v>
      </x:c>
      <x:c r="AD1" s="10" t="str">
        <x:v>power_source</x:v>
      </x:c>
      <x:c r="AE1" s="10" t="str">
        <x:v>cooling_source</x:v>
      </x:c>
      <x:c r="AF1" s="10" t="str">
        <x:v>cooling_type</x:v>
      </x:c>
      <x:c r="AG1" s="10" t="str">
        <x:v>expected_online</x:v>
      </x:c>
      <x:c r="AH1" s="10" t="str">
        <x:v>created_date</x:v>
      </x:c>
      <x:c r="AI1" s="10" t="str">
        <x:v>updated_date</x:v>
      </x:c>
      <x:c r="AJ1" s="10" t="str">
        <x:v>evidence_urls</x:v>
      </x:c>
      <x:c r="AK1" s="10" t="str">
        <x:v>source_dataset_url</x:v>
      </x:c>
      <x:c r="AL1" s="10" t="str">
        <x:v>source_record_url</x:v>
      </x:c>
      <x:c r="AM1" s="10" t="str">
        <x:v>notes</x:v>
      </x:c>
      <x:c r="AN1" s="10" t="str">
        <x:v>scope_category</x:v>
      </x:c>
      <x:c r="AO1" s="10" t="str">
        <x:v>included_in_master</x:v>
      </x:c>
      <x:c r="AP1" s="10" t="str">
        <x:v>operator_normalized</x:v>
      </x:c>
      <x:c r="AQ1" s="10" t="str">
        <x:v>name_normalized</x:v>
      </x:c>
      <x:c r="AR1" s="11" t="str">
        <x:v>address_normalized</x:v>
      </x:c>
    </x:row>
    <x:row r="2" ht="28" hidden="0" customHeight="1">
      <x:c r="A2" s="13" t="str">
        <x:v>peeringdb</x:v>
      </x:c>
      <x:c r="B2" s="22" t="str">
        <x:v>234</x:v>
      </x:c>
      <x:c r="C2" s="22" t="str">
        <x:v>Peace Communications KNX1</x:v>
      </x:c>
      <x:c r="D2" s="14" t="str"/>
      <x:c r="E2" s="22" t="str">
        <x:v>Peace Communications (Formerly Nexus Group)</x:v>
      </x:c>
      <x:c r="F2" s="14" t="str"/>
      <x:c r="G2" s="22" t="str">
        <x:v>500 W. Summit Hill</x:v>
      </x:c>
      <x:c r="H2" s="14" t="str"/>
      <x:c r="I2" s="14" t="str">
        <x:v>Knoxville</x:v>
      </x:c>
      <x:c r="J2" s="25" t="str"/>
      <x:c r="K2" s="14" t="str">
        <x:v>TN</x:v>
      </x:c>
      <x:c r="L2" s="14" t="str">
        <x:v>37902</x:v>
      </x:c>
      <x:c r="M2" s="28" t="n">
        <x:v>35.965586</x:v>
      </x:c>
      <x:c r="N2" s="28" t="n">
        <x:v>-83.921438</x:v>
      </x:c>
      <x:c r="O2" s="14" t="str">
        <x:v>address_or_site</x:v>
      </x:c>
      <x:c r="P2" s="14" t="str"/>
      <x:c r="Q2" s="14" t="str"/>
      <x:c r="R2" s="14" t="str">
        <x:v>ok</x:v>
      </x:c>
      <x:c r="S2" s="14" t="str">
        <x:v>operational</x:v>
      </x:c>
      <x:c r="T2" s="14" t="str">
        <x:v>interconnection_facility</x:v>
      </x:c>
      <x:c r="U2" s="14" t="str"/>
      <x:c r="V2" s="25" t="str"/>
      <x:c r="W2" s="25" t="str"/>
      <x:c r="X2" s="25" t="str"/>
      <x:c r="Y2" s="25" t="str"/>
      <x:c r="Z2" s="14" t="str"/>
      <x:c r="AA2" s="14" t="str"/>
      <x:c r="AB2" s="14" t="str"/>
      <x:c r="AC2" s="34" t="str"/>
      <x:c r="AD2" s="14" t="str"/>
      <x:c r="AE2" s="14" t="str"/>
      <x:c r="AF2" s="14" t="str"/>
      <x:c r="AG2" s="14" t="str"/>
      <x:c r="AH2" s="14" t="n">
        <x:v>40388</x:v>
      </x:c>
      <x:c r="AI2" s="14" t="n">
        <x:v>46225.17381944445</x:v>
      </x:c>
      <x:c r="AJ2" s="22" t="str">
        <x:v>http://www.peacecom.net</x:v>
      </x:c>
      <x:c r="AK2" s="22" t="str">
        <x:v>https://www.peeringdb.com/api/fac?state=TN&amp;country=US</x:v>
      </x:c>
      <x:c r="AL2" s="22" t="str">
        <x:v>https://www.peeringdb.com/fac/234</x:v>
      </x:c>
      <x:c r="AM2" s="22" t="str">
        <x:v>Formerly known as Digital Crossing.    Peace Communications KNX1 Facility has On Site access to multiple Tier1 and Tier2 Carriers.</x:v>
      </x:c>
      <x:c r="AN2" s="14" t="str">
        <x:v>core_data_center</x:v>
      </x:c>
      <x:c r="AO2" s="74" t="b">
        <x:v>1</x:v>
      </x:c>
      <x:c r="AP2" s="22" t="str">
        <x:v>peace communications formerly nexus group</x:v>
      </x:c>
      <x:c r="AQ2" s="14" t="str">
        <x:v>peace communications knx1</x:v>
      </x:c>
      <x:c r="AR2" s="15" t="str">
        <x:v>500 w summit hill</x:v>
      </x:c>
    </x:row>
    <x:row r="3" ht="28" hidden="0" customHeight="1">
      <x:c r="A3" s="16" t="str">
        <x:v>peeringdb</x:v>
      </x:c>
      <x:c r="B3" s="23" t="str">
        <x:v>311</x:v>
      </x:c>
      <x:c r="C3" s="23" t="str">
        <x:v>Level(3) Nashville (Sidco Drive)</x:v>
      </x:c>
      <x:c r="D3" s="17" t="str"/>
      <x:c r="E3" s="23" t="str">
        <x:v>Lumen Technologies Inc</x:v>
      </x:c>
      <x:c r="F3" s="17" t="str"/>
      <x:c r="G3" s="23" t="str">
        <x:v>2992 Sidco Drive</x:v>
      </x:c>
      <x:c r="H3" s="17" t="str"/>
      <x:c r="I3" s="17" t="str">
        <x:v>Nashville</x:v>
      </x:c>
      <x:c r="J3" s="26" t="str"/>
      <x:c r="K3" s="17" t="str">
        <x:v>TN</x:v>
      </x:c>
      <x:c r="L3" s="17" t="str">
        <x:v>37201</x:v>
      </x:c>
      <x:c r="M3" s="29" t="n">
        <x:v>36.102726</x:v>
      </x:c>
      <x:c r="N3" s="29" t="n">
        <x:v>-86.755786</x:v>
      </x:c>
      <x:c r="O3" s="17" t="str">
        <x:v>address_or_site</x:v>
      </x:c>
      <x:c r="P3" s="17" t="str"/>
      <x:c r="Q3" s="17" t="str"/>
      <x:c r="R3" s="17" t="str">
        <x:v>ok</x:v>
      </x:c>
      <x:c r="S3" s="17" t="str">
        <x:v>operational</x:v>
      </x:c>
      <x:c r="T3" s="17" t="str">
        <x:v>interconnection_facility</x:v>
      </x:c>
      <x:c r="U3" s="17" t="str"/>
      <x:c r="V3" s="26" t="str"/>
      <x:c r="W3" s="26" t="str"/>
      <x:c r="X3" s="26" t="str"/>
      <x:c r="Y3" s="26" t="str"/>
      <x:c r="Z3" s="17" t="str"/>
      <x:c r="AA3" s="17" t="str"/>
      <x:c r="AB3" s="17" t="str"/>
      <x:c r="AC3" s="35" t="str"/>
      <x:c r="AD3" s="17" t="str"/>
      <x:c r="AE3" s="17" t="str"/>
      <x:c r="AF3" s="17" t="str"/>
      <x:c r="AG3" s="17" t="str"/>
      <x:c r="AH3" s="17" t="n">
        <x:v>40388</x:v>
      </x:c>
      <x:c r="AI3" s="17" t="n">
        <x:v>45926.946226851855</x:v>
      </x:c>
      <x:c r="AJ3" s="23" t="str">
        <x:v>http://www.level3.com</x:v>
      </x:c>
      <x:c r="AK3" s="23" t="str">
        <x:v>https://www.peeringdb.com/api/fac?state=TN&amp;country=US</x:v>
      </x:c>
      <x:c r="AL3" s="23" t="str">
        <x:v>https://www.peeringdb.com/fac/311</x:v>
      </x:c>
      <x:c r="AM3" s="23" t="str"/>
      <x:c r="AN3" s="17" t="str">
        <x:v>core_data_center</x:v>
      </x:c>
      <x:c r="AO3" s="77" t="b">
        <x:v>1</x:v>
      </x:c>
      <x:c r="AP3" s="23" t="str">
        <x:v>lumen technologies</x:v>
      </x:c>
      <x:c r="AQ3" s="17" t="str">
        <x:v>level 3 nashville sidco drive</x:v>
      </x:c>
      <x:c r="AR3" s="18" t="str">
        <x:v>2992 sidco dr</x:v>
      </x:c>
    </x:row>
    <x:row r="4" ht="28" hidden="0" customHeight="1">
      <x:c r="A4" s="16" t="str">
        <x:v>peeringdb</x:v>
      </x:c>
      <x:c r="B4" s="23" t="str">
        <x:v>312</x:v>
      </x:c>
      <x:c r="C4" s="23" t="str">
        <x:v>IRIS - Nashville</x:v>
      </x:c>
      <x:c r="D4" s="17" t="str"/>
      <x:c r="E4" s="23" t="str">
        <x:v>IRIS</x:v>
      </x:c>
      <x:c r="F4" s="17" t="str"/>
      <x:c r="G4" s="23" t="str">
        <x:v>211 Commerce Street</x:v>
      </x:c>
      <x:c r="H4" s="17" t="str"/>
      <x:c r="I4" s="17" t="str">
        <x:v>Nashville</x:v>
      </x:c>
      <x:c r="J4" s="26" t="str"/>
      <x:c r="K4" s="17" t="str">
        <x:v>TN</x:v>
      </x:c>
      <x:c r="L4" s="17" t="str">
        <x:v>37201</x:v>
      </x:c>
      <x:c r="M4" s="29" t="n">
        <x:v>36.162621</x:v>
      </x:c>
      <x:c r="N4" s="29" t="n">
        <x:v>-86.776316</x:v>
      </x:c>
      <x:c r="O4" s="17" t="str">
        <x:v>address_or_site</x:v>
      </x:c>
      <x:c r="P4" s="17" t="str"/>
      <x:c r="Q4" s="17" t="str"/>
      <x:c r="R4" s="17" t="str">
        <x:v>ok</x:v>
      </x:c>
      <x:c r="S4" s="17" t="str">
        <x:v>operational</x:v>
      </x:c>
      <x:c r="T4" s="17" t="str">
        <x:v>interconnection_facility</x:v>
      </x:c>
      <x:c r="U4" s="17" t="str"/>
      <x:c r="V4" s="26" t="str"/>
      <x:c r="W4" s="26" t="str"/>
      <x:c r="X4" s="26" t="str"/>
      <x:c r="Y4" s="26" t="str"/>
      <x:c r="Z4" s="17" t="str"/>
      <x:c r="AA4" s="17" t="str"/>
      <x:c r="AB4" s="17" t="str"/>
      <x:c r="AC4" s="35" t="str"/>
      <x:c r="AD4" s="17" t="str"/>
      <x:c r="AE4" s="17" t="str"/>
      <x:c r="AF4" s="17" t="str"/>
      <x:c r="AG4" s="17" t="str"/>
      <x:c r="AH4" s="17" t="n">
        <x:v>40388</x:v>
      </x:c>
      <x:c r="AI4" s="17" t="n">
        <x:v>45926.946226851855</x:v>
      </x:c>
      <x:c r="AJ4" s="23" t="str">
        <x:v>http://www.iristransport.com/</x:v>
      </x:c>
      <x:c r="AK4" s="23" t="str">
        <x:v>https://www.peeringdb.com/api/fac?state=TN&amp;country=US</x:v>
      </x:c>
      <x:c r="AL4" s="23" t="str">
        <x:v>https://www.peeringdb.com/fac/312</x:v>
      </x:c>
      <x:c r="AM4" s="23" t="str"/>
      <x:c r="AN4" s="17" t="str">
        <x:v>core_data_center</x:v>
      </x:c>
      <x:c r="AO4" s="77" t="b">
        <x:v>1</x:v>
      </x:c>
      <x:c r="AP4" s="23" t="str">
        <x:v>iris</x:v>
      </x:c>
      <x:c r="AQ4" s="17" t="str">
        <x:v>iris nashville</x:v>
      </x:c>
      <x:c r="AR4" s="18" t="str">
        <x:v>211 commerce st</x:v>
      </x:c>
    </x:row>
    <x:row r="5" ht="28" hidden="0" customHeight="1">
      <x:c r="A5" s="16" t="str">
        <x:v>peeringdb</x:v>
      </x:c>
      <x:c r="B5" s="23" t="str">
        <x:v>368</x:v>
      </x:c>
      <x:c r="C5" s="23" t="str">
        <x:v>XO Nashville</x:v>
      </x:c>
      <x:c r="D5" s="17" t="str"/>
      <x:c r="E5" s="23" t="str">
        <x:v>XO</x:v>
      </x:c>
      <x:c r="F5" s="17" t="str"/>
      <x:c r="G5" s="23" t="str">
        <x:v>101 Molloy Street</x:v>
      </x:c>
      <x:c r="H5" s="17" t="str"/>
      <x:c r="I5" s="17" t="str">
        <x:v>Nashville</x:v>
      </x:c>
      <x:c r="J5" s="26" t="str"/>
      <x:c r="K5" s="17" t="str">
        <x:v>TN</x:v>
      </x:c>
      <x:c r="L5" s="17" t="str">
        <x:v>37201</x:v>
      </x:c>
      <x:c r="M5" s="29" t="n">
        <x:v>36.158837</x:v>
      </x:c>
      <x:c r="N5" s="29" t="n">
        <x:v>-86.772516</x:v>
      </x:c>
      <x:c r="O5" s="17" t="str">
        <x:v>address_or_site</x:v>
      </x:c>
      <x:c r="P5" s="17" t="str"/>
      <x:c r="Q5" s="17" t="str"/>
      <x:c r="R5" s="17" t="str">
        <x:v>ok</x:v>
      </x:c>
      <x:c r="S5" s="17" t="str">
        <x:v>operational</x:v>
      </x:c>
      <x:c r="T5" s="17" t="str">
        <x:v>interconnection_facility</x:v>
      </x:c>
      <x:c r="U5" s="17" t="str"/>
      <x:c r="V5" s="26" t="str"/>
      <x:c r="W5" s="26" t="str"/>
      <x:c r="X5" s="26" t="str"/>
      <x:c r="Y5" s="26" t="str"/>
      <x:c r="Z5" s="17" t="str"/>
      <x:c r="AA5" s="17" t="str"/>
      <x:c r="AB5" s="17" t="str"/>
      <x:c r="AC5" s="35" t="str"/>
      <x:c r="AD5" s="17" t="str"/>
      <x:c r="AE5" s="17" t="str"/>
      <x:c r="AF5" s="17" t="str"/>
      <x:c r="AG5" s="17" t="str"/>
      <x:c r="AH5" s="17" t="n">
        <x:v>40388</x:v>
      </x:c>
      <x:c r="AI5" s="17" t="n">
        <x:v>45926.94627314815</x:v>
      </x:c>
      <x:c r="AJ5" s="23" t="str">
        <x:v>http://www.xo.com</x:v>
      </x:c>
      <x:c r="AK5" s="23" t="str">
        <x:v>https://www.peeringdb.com/api/fac?state=TN&amp;country=US</x:v>
      </x:c>
      <x:c r="AL5" s="23" t="str">
        <x:v>https://www.peeringdb.com/fac/368</x:v>
      </x:c>
      <x:c r="AM5" s="23" t="str"/>
      <x:c r="AN5" s="17" t="str">
        <x:v>core_data_center</x:v>
      </x:c>
      <x:c r="AO5" s="77" t="b">
        <x:v>1</x:v>
      </x:c>
      <x:c r="AP5" s="23" t="str">
        <x:v>xo</x:v>
      </x:c>
      <x:c r="AQ5" s="17" t="str">
        <x:v>xo nashville</x:v>
      </x:c>
      <x:c r="AR5" s="18" t="str">
        <x:v>101 molloy st</x:v>
      </x:c>
    </x:row>
    <x:row r="6" ht="28" hidden="0" customHeight="1">
      <x:c r="A6" s="16" t="str">
        <x:v>peeringdb</x:v>
      </x:c>
      <x:c r="B6" s="23" t="str">
        <x:v>561</x:v>
      </x:c>
      <x:c r="C6" s="23" t="str">
        <x:v>H5 Data Centers Nashville</x:v>
      </x:c>
      <x:c r="D6" s="17" t="str"/>
      <x:c r="E6" s="23" t="str">
        <x:v>H5 Data Centers</x:v>
      </x:c>
      <x:c r="F6" s="17" t="str"/>
      <x:c r="G6" s="23" t="str">
        <x:v>147 Fourth Avenue</x:v>
      </x:c>
      <x:c r="H6" s="17" t="str"/>
      <x:c r="I6" s="17" t="str">
        <x:v>Nashville</x:v>
      </x:c>
      <x:c r="J6" s="26" t="str"/>
      <x:c r="K6" s="17" t="str">
        <x:v>TN</x:v>
      </x:c>
      <x:c r="L6" s="17" t="str">
        <x:v>37219</x:v>
      </x:c>
      <x:c r="M6" s="29" t="n">
        <x:v>36.162626</x:v>
      </x:c>
      <x:c r="N6" s="29" t="n">
        <x:v>-86.778674</x:v>
      </x:c>
      <x:c r="O6" s="17" t="str">
        <x:v>address_or_site</x:v>
      </x:c>
      <x:c r="P6" s="17" t="str"/>
      <x:c r="Q6" s="17" t="str"/>
      <x:c r="R6" s="17" t="str">
        <x:v>ok</x:v>
      </x:c>
      <x:c r="S6" s="17" t="str">
        <x:v>operational</x:v>
      </x:c>
      <x:c r="T6" s="17" t="str">
        <x:v>interconnection_facility</x:v>
      </x:c>
      <x:c r="U6" s="17" t="str"/>
      <x:c r="V6" s="26" t="str"/>
      <x:c r="W6" s="26" t="str"/>
      <x:c r="X6" s="26" t="str"/>
      <x:c r="Y6" s="26" t="str"/>
      <x:c r="Z6" s="17" t="str"/>
      <x:c r="AA6" s="17" t="str"/>
      <x:c r="AB6" s="17" t="str"/>
      <x:c r="AC6" s="35" t="str"/>
      <x:c r="AD6" s="17" t="str"/>
      <x:c r="AE6" s="17" t="str"/>
      <x:c r="AF6" s="17" t="str"/>
      <x:c r="AG6" s="17" t="str"/>
      <x:c r="AH6" s="17" t="n">
        <x:v>40388</x:v>
      </x:c>
      <x:c r="AI6" s="17" t="n">
        <x:v>46083.95712962963</x:v>
      </x:c>
      <x:c r="AJ6" s="23" t="str">
        <x:v>https://h5datacenters.com/nashville-colocation.html</x:v>
      </x:c>
      <x:c r="AK6" s="23" t="str">
        <x:v>https://www.peeringdb.com/api/fac?state=TN&amp;country=US</x:v>
      </x:c>
      <x:c r="AL6" s="23" t="str">
        <x:v>https://www.peeringdb.com/fac/561</x:v>
      </x:c>
      <x:c r="AM6" s="23" t="str">
        <x:v>This is the former Switch &amp; Data/Equinix facility.</x:v>
      </x:c>
      <x:c r="AN6" s="17" t="str">
        <x:v>core_data_center</x:v>
      </x:c>
      <x:c r="AO6" s="77" t="b">
        <x:v>1</x:v>
      </x:c>
      <x:c r="AP6" s="23" t="str">
        <x:v>h5 data centers</x:v>
      </x:c>
      <x:c r="AQ6" s="17" t="str">
        <x:v>h5 data centers nashville</x:v>
      </x:c>
      <x:c r="AR6" s="18" t="str">
        <x:v>147 fourth ave</x:v>
      </x:c>
    </x:row>
    <x:row r="7" ht="28" hidden="0" customHeight="1">
      <x:c r="A7" s="16" t="str">
        <x:v>peeringdb</x:v>
      </x:c>
      <x:c r="B7" s="23" t="str">
        <x:v>1294</x:v>
      </x:c>
      <x:c r="C7" s="23" t="str">
        <x:v>Level(3) Memphis</x:v>
      </x:c>
      <x:c r="D7" s="17" t="str"/>
      <x:c r="E7" s="23" t="str">
        <x:v>Lumen Technologies Inc</x:v>
      </x:c>
      <x:c r="F7" s="17" t="str"/>
      <x:c r="G7" s="23" t="str">
        <x:v>3993 Crowfarn Drive</x:v>
      </x:c>
      <x:c r="H7" s="17" t="str"/>
      <x:c r="I7" s="17" t="str">
        <x:v>Memphis</x:v>
      </x:c>
      <x:c r="J7" s="26" t="str"/>
      <x:c r="K7" s="17" t="str">
        <x:v>TN</x:v>
      </x:c>
      <x:c r="L7" s="17" t="str">
        <x:v>38118-7326</x:v>
      </x:c>
      <x:c r="M7" s="29" t="n">
        <x:v>35.028826</x:v>
      </x:c>
      <x:c r="N7" s="29" t="n">
        <x:v>-89.930755</x:v>
      </x:c>
      <x:c r="O7" s="17" t="str">
        <x:v>address_or_site</x:v>
      </x:c>
      <x:c r="P7" s="17" t="str"/>
      <x:c r="Q7" s="17" t="str"/>
      <x:c r="R7" s="17" t="str">
        <x:v>ok</x:v>
      </x:c>
      <x:c r="S7" s="17" t="str">
        <x:v>operational</x:v>
      </x:c>
      <x:c r="T7" s="17" t="str">
        <x:v>interconnection_facility</x:v>
      </x:c>
      <x:c r="U7" s="17" t="str"/>
      <x:c r="V7" s="26" t="str"/>
      <x:c r="W7" s="26" t="str"/>
      <x:c r="X7" s="26" t="str"/>
      <x:c r="Y7" s="26" t="str"/>
      <x:c r="Z7" s="17" t="str"/>
      <x:c r="AA7" s="17" t="str"/>
      <x:c r="AB7" s="17" t="str"/>
      <x:c r="AC7" s="35" t="str"/>
      <x:c r="AD7" s="17" t="str"/>
      <x:c r="AE7" s="17" t="str"/>
      <x:c r="AF7" s="17" t="str"/>
      <x:c r="AG7" s="17" t="str"/>
      <x:c r="AH7" s="17" t="n">
        <x:v>41158</x:v>
      </x:c>
      <x:c r="AI7" s="17" t="n">
        <x:v>45926.94741898148</x:v>
      </x:c>
      <x:c r="AJ7" s="23" t="str">
        <x:v>http://www.level3.com</x:v>
      </x:c>
      <x:c r="AK7" s="23" t="str">
        <x:v>https://www.peeringdb.com/api/fac?state=TN&amp;country=US</x:v>
      </x:c>
      <x:c r="AL7" s="23" t="str">
        <x:v>https://www.peeringdb.com/fac/1294</x:v>
      </x:c>
      <x:c r="AM7" s="23" t="str"/>
      <x:c r="AN7" s="17" t="str">
        <x:v>core_data_center</x:v>
      </x:c>
      <x:c r="AO7" s="77" t="b">
        <x:v>1</x:v>
      </x:c>
      <x:c r="AP7" s="23" t="str">
        <x:v>lumen technologies</x:v>
      </x:c>
      <x:c r="AQ7" s="17" t="str">
        <x:v>level 3 memphis</x:v>
      </x:c>
      <x:c r="AR7" s="18" t="str">
        <x:v>3993 crowfarn dr</x:v>
      </x:c>
    </x:row>
    <x:row r="8" ht="28" hidden="0" customHeight="1">
      <x:c r="A8" s="16" t="str">
        <x:v>peeringdb</x:v>
      </x:c>
      <x:c r="B8" s="23" t="str">
        <x:v>1924</x:v>
      </x:c>
      <x:c r="C8" s="23" t="str">
        <x:v>EdgeConneX Nashville (EDCNAS01)</x:v>
      </x:c>
      <x:c r="D8" s="17" t="str"/>
      <x:c r="E8" s="23" t="str">
        <x:v>EdgeConneX Inc.</x:v>
      </x:c>
      <x:c r="F8" s="17" t="str"/>
      <x:c r="G8" s="23" t="str">
        <x:v>1841 Air Lane Dr</x:v>
      </x:c>
      <x:c r="H8" s="17" t="str">
        <x:v>Building 3</x:v>
      </x:c>
      <x:c r="I8" s="17" t="str">
        <x:v>Nashville</x:v>
      </x:c>
      <x:c r="J8" s="26" t="str"/>
      <x:c r="K8" s="17" t="str">
        <x:v>TN</x:v>
      </x:c>
      <x:c r="L8" s="17" t="str">
        <x:v>37210</x:v>
      </x:c>
      <x:c r="M8" s="29" t="n">
        <x:v>36.144881</x:v>
      </x:c>
      <x:c r="N8" s="29" t="n">
        <x:v>-86.701721</x:v>
      </x:c>
      <x:c r="O8" s="17" t="str">
        <x:v>address_or_site</x:v>
      </x:c>
      <x:c r="P8" s="17" t="str"/>
      <x:c r="Q8" s="17" t="str"/>
      <x:c r="R8" s="17" t="str">
        <x:v>ok</x:v>
      </x:c>
      <x:c r="S8" s="17" t="str">
        <x:v>operational</x:v>
      </x:c>
      <x:c r="T8" s="17" t="str">
        <x:v>interconnection_facility</x:v>
      </x:c>
      <x:c r="U8" s="17" t="str"/>
      <x:c r="V8" s="26" t="str"/>
      <x:c r="W8" s="26" t="str"/>
      <x:c r="X8" s="26" t="str"/>
      <x:c r="Y8" s="26" t="str"/>
      <x:c r="Z8" s="17" t="str"/>
      <x:c r="AA8" s="17" t="str"/>
      <x:c r="AB8" s="17" t="str"/>
      <x:c r="AC8" s="35" t="str"/>
      <x:c r="AD8" s="17" t="str"/>
      <x:c r="AE8" s="17" t="str"/>
      <x:c r="AF8" s="17" t="str"/>
      <x:c r="AG8" s="17" t="str"/>
      <x:c r="AH8" s="17" t="n">
        <x:v>41911</x:v>
      </x:c>
      <x:c r="AI8" s="17" t="n">
        <x:v>45926.94809027778</x:v>
      </x:c>
      <x:c r="AJ8" s="23" t="str">
        <x:v>http://www.edgeconnex.com</x:v>
      </x:c>
      <x:c r="AK8" s="23" t="str">
        <x:v>https://www.peeringdb.com/api/fac?state=TN&amp;country=US</x:v>
      </x:c>
      <x:c r="AL8" s="23" t="str">
        <x:v>https://www.peeringdb.com/fac/1924</x:v>
      </x:c>
      <x:c r="AM8" s="23" t="str"/>
      <x:c r="AN8" s="17" t="str">
        <x:v>core_data_center</x:v>
      </x:c>
      <x:c r="AO8" s="77" t="b">
        <x:v>1</x:v>
      </x:c>
      <x:c r="AP8" s="23" t="str">
        <x:v>edgeconnex</x:v>
      </x:c>
      <x:c r="AQ8" s="17" t="str">
        <x:v>edgeconnex nashville edcnas01</x:v>
      </x:c>
      <x:c r="AR8" s="18" t="str">
        <x:v>1841 air lane dr</x:v>
      </x:c>
    </x:row>
    <x:row r="9" ht="28" hidden="0" customHeight="1">
      <x:c r="A9" s="16" t="str">
        <x:v>peeringdb</x:v>
      </x:c>
      <x:c r="B9" s="23" t="str">
        <x:v>1930</x:v>
      </x:c>
      <x:c r="C9" s="23" t="str">
        <x:v>EdgeConneX Memphis (EDCMEM01)</x:v>
      </x:c>
      <x:c r="D9" s="17" t="str"/>
      <x:c r="E9" s="23" t="str">
        <x:v>EdgeConneX Inc.</x:v>
      </x:c>
      <x:c r="F9" s="17" t="str"/>
      <x:c r="G9" s="23" t="str">
        <x:v>4005 S Mendenhall Rd</x:v>
      </x:c>
      <x:c r="H9" s="17" t="str"/>
      <x:c r="I9" s="17" t="str">
        <x:v>Memphis</x:v>
      </x:c>
      <x:c r="J9" s="26" t="str"/>
      <x:c r="K9" s="17" t="str">
        <x:v>TN</x:v>
      </x:c>
      <x:c r="L9" s="17" t="str">
        <x:v>38115</x:v>
      </x:c>
      <x:c r="M9" s="29" t="n">
        <x:v>35.038995</x:v>
      </x:c>
      <x:c r="N9" s="29" t="n">
        <x:v>-89.88623</x:v>
      </x:c>
      <x:c r="O9" s="17" t="str">
        <x:v>address_or_site</x:v>
      </x:c>
      <x:c r="P9" s="17" t="str"/>
      <x:c r="Q9" s="17" t="str"/>
      <x:c r="R9" s="17" t="str">
        <x:v>ok</x:v>
      </x:c>
      <x:c r="S9" s="17" t="str">
        <x:v>operational</x:v>
      </x:c>
      <x:c r="T9" s="17" t="str">
        <x:v>interconnection_facility</x:v>
      </x:c>
      <x:c r="U9" s="17" t="str"/>
      <x:c r="V9" s="26" t="str"/>
      <x:c r="W9" s="26" t="str"/>
      <x:c r="X9" s="26" t="str"/>
      <x:c r="Y9" s="26" t="str"/>
      <x:c r="Z9" s="17" t="str"/>
      <x:c r="AA9" s="17" t="str"/>
      <x:c r="AB9" s="17" t="str"/>
      <x:c r="AC9" s="35" t="str"/>
      <x:c r="AD9" s="17" t="str"/>
      <x:c r="AE9" s="17" t="str"/>
      <x:c r="AF9" s="17" t="str"/>
      <x:c r="AG9" s="17" t="str"/>
      <x:c r="AH9" s="17" t="n">
        <x:v>41911</x:v>
      </x:c>
      <x:c r="AI9" s="17" t="n">
        <x:v>45926.948113425926</x:v>
      </x:c>
      <x:c r="AJ9" s="23" t="str">
        <x:v>http://www.edgeconnex.com</x:v>
      </x:c>
      <x:c r="AK9" s="23" t="str">
        <x:v>https://www.peeringdb.com/api/fac?state=TN&amp;country=US</x:v>
      </x:c>
      <x:c r="AL9" s="23" t="str">
        <x:v>https://www.peeringdb.com/fac/1930</x:v>
      </x:c>
      <x:c r="AM9" s="23" t="str"/>
      <x:c r="AN9" s="17" t="str">
        <x:v>core_data_center</x:v>
      </x:c>
      <x:c r="AO9" s="77" t="b">
        <x:v>1</x:v>
      </x:c>
      <x:c r="AP9" s="23" t="str">
        <x:v>edgeconnex</x:v>
      </x:c>
      <x:c r="AQ9" s="17" t="str">
        <x:v>edgeconnex memphis edcmem01</x:v>
      </x:c>
      <x:c r="AR9" s="18" t="str">
        <x:v>4005 s mendenhall rd</x:v>
      </x:c>
    </x:row>
    <x:row r="10" ht="28" hidden="0" customHeight="1">
      <x:c r="A10" s="16" t="str">
        <x:v>peeringdb</x:v>
      </x:c>
      <x:c r="B10" s="23" t="str">
        <x:v>1983</x:v>
      </x:c>
      <x:c r="C10" s="23" t="str">
        <x:v>Level(3) Nashville (9th Ave)</x:v>
      </x:c>
      <x:c r="D10" s="17" t="str"/>
      <x:c r="E10" s="23" t="str">
        <x:v>Lumen Technologies Inc</x:v>
      </x:c>
      <x:c r="F10" s="17" t="str"/>
      <x:c r="G10" s="23" t="str">
        <x:v>2208 9th Ave N</x:v>
      </x:c>
      <x:c r="H10" s="17" t="str"/>
      <x:c r="I10" s="17" t="str">
        <x:v>Nashville</x:v>
      </x:c>
      <x:c r="J10" s="26" t="str"/>
      <x:c r="K10" s="17" t="str">
        <x:v>TN</x:v>
      </x:c>
      <x:c r="L10" s="17" t="str">
        <x:v>37208</x:v>
      </x:c>
      <x:c r="M10" s="29" t="n">
        <x:v>36.189148</x:v>
      </x:c>
      <x:c r="N10" s="29" t="n">
        <x:v>-86.804111</x:v>
      </x:c>
      <x:c r="O10" s="17" t="str">
        <x:v>address_or_site</x:v>
      </x:c>
      <x:c r="P10" s="17" t="str"/>
      <x:c r="Q10" s="17" t="str"/>
      <x:c r="R10" s="17" t="str">
        <x:v>ok</x:v>
      </x:c>
      <x:c r="S10" s="17" t="str">
        <x:v>operational</x:v>
      </x:c>
      <x:c r="T10" s="17" t="str">
        <x:v>interconnection_facility</x:v>
      </x:c>
      <x:c r="U10" s="17" t="str"/>
      <x:c r="V10" s="26" t="str"/>
      <x:c r="W10" s="26" t="str"/>
      <x:c r="X10" s="26" t="str"/>
      <x:c r="Y10" s="26" t="str"/>
      <x:c r="Z10" s="17" t="str"/>
      <x:c r="AA10" s="17" t="str"/>
      <x:c r="AB10" s="17" t="str"/>
      <x:c r="AC10" s="35" t="str"/>
      <x:c r="AD10" s="17" t="str"/>
      <x:c r="AE10" s="17" t="str"/>
      <x:c r="AF10" s="17" t="str"/>
      <x:c r="AG10" s="17" t="str"/>
      <x:c r="AH10" s="17" t="n">
        <x:v>41989</x:v>
      </x:c>
      <x:c r="AI10" s="17" t="n">
        <x:v>45926.94820601852</x:v>
      </x:c>
      <x:c r="AJ10" s="23" t="str">
        <x:v>http://www.level3.net</x:v>
      </x:c>
      <x:c r="AK10" s="23" t="str">
        <x:v>https://www.peeringdb.com/api/fac?state=TN&amp;country=US</x:v>
      </x:c>
      <x:c r="AL10" s="23" t="str">
        <x:v>https://www.peeringdb.com/fac/1983</x:v>
      </x:c>
      <x:c r="AM10" s="23" t="str"/>
      <x:c r="AN10" s="17" t="str">
        <x:v>core_data_center</x:v>
      </x:c>
      <x:c r="AO10" s="77" t="b">
        <x:v>1</x:v>
      </x:c>
      <x:c r="AP10" s="23" t="str">
        <x:v>lumen technologies</x:v>
      </x:c>
      <x:c r="AQ10" s="17" t="str">
        <x:v>level 3 nashville 9th ave</x:v>
      </x:c>
      <x:c r="AR10" s="18" t="str">
        <x:v>2208 9th ave n</x:v>
      </x:c>
    </x:row>
    <x:row r="11" ht="28" hidden="0" customHeight="1">
      <x:c r="A11" s="16" t="str">
        <x:v>peeringdb</x:v>
      </x:c>
      <x:c r="B11" s="23" t="str">
        <x:v>2936</x:v>
      </x:c>
      <x:c r="C11" s="23" t="str">
        <x:v>Zayo Nashville - 209 10th Ave. S</x:v>
      </x:c>
      <x:c r="D11" s="17" t="str"/>
      <x:c r="E11" s="23" t="str">
        <x:v>Zayo Group</x:v>
      </x:c>
      <x:c r="F11" s="17" t="str"/>
      <x:c r="G11" s="23" t="str">
        <x:v>209 10th Ave. S</x:v>
      </x:c>
      <x:c r="H11" s="17" t="str"/>
      <x:c r="I11" s="17" t="str">
        <x:v>Nashville</x:v>
      </x:c>
      <x:c r="J11" s="26" t="str"/>
      <x:c r="K11" s="17" t="str">
        <x:v>TN</x:v>
      </x:c>
      <x:c r="L11" s="17" t="str">
        <x:v>37203</x:v>
      </x:c>
      <x:c r="M11" s="29" t="n">
        <x:v>36.155165</x:v>
      </x:c>
      <x:c r="N11" s="29" t="n">
        <x:v>-86.782559</x:v>
      </x:c>
      <x:c r="O11" s="17" t="str">
        <x:v>address_or_site</x:v>
      </x:c>
      <x:c r="P11" s="17" t="str"/>
      <x:c r="Q11" s="17" t="str"/>
      <x:c r="R11" s="17" t="str">
        <x:v>ok</x:v>
      </x:c>
      <x:c r="S11" s="17" t="str">
        <x:v>operational</x:v>
      </x:c>
      <x:c r="T11" s="17" t="str">
        <x:v>interconnection_facility</x:v>
      </x:c>
      <x:c r="U11" s="17" t="str"/>
      <x:c r="V11" s="26" t="str"/>
      <x:c r="W11" s="26" t="str"/>
      <x:c r="X11" s="26" t="str"/>
      <x:c r="Y11" s="26" t="str"/>
      <x:c r="Z11" s="17" t="str"/>
      <x:c r="AA11" s="17" t="str"/>
      <x:c r="AB11" s="17" t="str"/>
      <x:c r="AC11" s="35" t="str"/>
      <x:c r="AD11" s="17" t="str"/>
      <x:c r="AE11" s="17" t="str"/>
      <x:c r="AF11" s="17" t="str"/>
      <x:c r="AG11" s="17" t="str"/>
      <x:c r="AH11" s="17" t="n">
        <x:v>42534.881736111114</x:v>
      </x:c>
      <x:c r="AI11" s="17" t="n">
        <x:v>45926.94965277778</x:v>
      </x:c>
      <x:c r="AJ11" s="23" t="str">
        <x:v>http://www.databank.com</x:v>
      </x:c>
      <x:c r="AK11" s="23" t="str">
        <x:v>https://www.peeringdb.com/api/fac?state=TN&amp;country=US</x:v>
      </x:c>
      <x:c r="AL11" s="23" t="str">
        <x:v>https://www.peeringdb.com/fac/2936</x:v>
      </x:c>
      <x:c r="AM11" s="23" t="str"/>
      <x:c r="AN11" s="17" t="str">
        <x:v>core_data_center</x:v>
      </x:c>
      <x:c r="AO11" s="77" t="b">
        <x:v>1</x:v>
      </x:c>
      <x:c r="AP11" s="23" t="str">
        <x:v>zayo group</x:v>
      </x:c>
      <x:c r="AQ11" s="17" t="str">
        <x:v>zayo nashville 209 10th ave s</x:v>
      </x:c>
      <x:c r="AR11" s="18" t="str">
        <x:v>209 10th ave s</x:v>
      </x:c>
    </x:row>
    <x:row r="12" ht="28" hidden="0" customHeight="1">
      <x:c r="A12" s="16" t="str">
        <x:v>peeringdb</x:v>
      </x:c>
      <x:c r="B12" s="23" t="str">
        <x:v>2958</x:v>
      </x:c>
      <x:c r="C12" s="23" t="str">
        <x:v>DataBank Memphis (MEM1)</x:v>
      </x:c>
      <x:c r="D12" s="17" t="str"/>
      <x:c r="E12" s="23" t="str">
        <x:v>DataBank, Ltd.</x:v>
      </x:c>
      <x:c r="F12" s="17" t="str"/>
      <x:c r="G12" s="23" t="str">
        <x:v>7620 Appling Center Dr</x:v>
      </x:c>
      <x:c r="H12" s="17" t="str"/>
      <x:c r="I12" s="17" t="str">
        <x:v>Memphis</x:v>
      </x:c>
      <x:c r="J12" s="26" t="str"/>
      <x:c r="K12" s="17" t="str">
        <x:v>TN</x:v>
      </x:c>
      <x:c r="L12" s="17" t="str">
        <x:v>38133</x:v>
      </x:c>
      <x:c r="M12" s="29" t="n">
        <x:v>35.203086</x:v>
      </x:c>
      <x:c r="N12" s="29" t="n">
        <x:v>-89.808615</x:v>
      </x:c>
      <x:c r="O12" s="17" t="str">
        <x:v>address_or_site</x:v>
      </x:c>
      <x:c r="P12" s="17" t="str"/>
      <x:c r="Q12" s="17" t="str"/>
      <x:c r="R12" s="17" t="str">
        <x:v>ok</x:v>
      </x:c>
      <x:c r="S12" s="17" t="str">
        <x:v>operational</x:v>
      </x:c>
      <x:c r="T12" s="17" t="str">
        <x:v>interconnection_facility</x:v>
      </x:c>
      <x:c r="U12" s="17" t="str"/>
      <x:c r="V12" s="26" t="str"/>
      <x:c r="W12" s="26" t="str"/>
      <x:c r="X12" s="26" t="str"/>
      <x:c r="Y12" s="26" t="str"/>
      <x:c r="Z12" s="17" t="str"/>
      <x:c r="AA12" s="17" t="str"/>
      <x:c r="AB12" s="17" t="str"/>
      <x:c r="AC12" s="35" t="str"/>
      <x:c r="AD12" s="17" t="str"/>
      <x:c r="AE12" s="17" t="str"/>
      <x:c r="AF12" s="17" t="str"/>
      <x:c r="AG12" s="17" t="str"/>
      <x:c r="AH12" s="17" t="n">
        <x:v>42536.84506944445</x:v>
      </x:c>
      <x:c r="AI12" s="17" t="n">
        <x:v>45926.94967592593</x:v>
      </x:c>
      <x:c r="AJ12" s="23" t="str">
        <x:v>https://www.databank.com/data-centers/memphis/mem1/</x:v>
      </x:c>
      <x:c r="AK12" s="23" t="str">
        <x:v>https://www.peeringdb.com/api/fac?state=TN&amp;country=US</x:v>
      </x:c>
      <x:c r="AL12" s="23" t="str">
        <x:v>https://www.peeringdb.com/fac/2958</x:v>
      </x:c>
      <x:c r="AM12" s="23" t="str"/>
      <x:c r="AN12" s="17" t="str">
        <x:v>core_data_center</x:v>
      </x:c>
      <x:c r="AO12" s="77" t="b">
        <x:v>1</x:v>
      </x:c>
      <x:c r="AP12" s="23" t="str">
        <x:v>databank</x:v>
      </x:c>
      <x:c r="AQ12" s="17" t="str">
        <x:v>databank memphis mem1</x:v>
      </x:c>
      <x:c r="AR12" s="18" t="str">
        <x:v>7620 appling center dr</x:v>
      </x:c>
    </x:row>
    <x:row r="13" ht="28" hidden="0" customHeight="1">
      <x:c r="A13" s="16" t="str">
        <x:v>peeringdb</x:v>
      </x:c>
      <x:c r="B13" s="23" t="str">
        <x:v>3925</x:v>
      </x:c>
      <x:c r="C13" s="23" t="str">
        <x:v>H5 Data Centers Nashville (TN01)</x:v>
      </x:c>
      <x:c r="D13" s="17" t="str">
        <x:v>vXchnge Nashville (TN01)</x:v>
      </x:c>
      <x:c r="E13" s="23" t="str">
        <x:v>H5 Data Centers</x:v>
      </x:c>
      <x:c r="F13" s="17" t="str"/>
      <x:c r="G13" s="23" t="str">
        <x:v>211 Commerce Street, Suite 700</x:v>
      </x:c>
      <x:c r="H13" s="17" t="str"/>
      <x:c r="I13" s="17" t="str">
        <x:v>Nashville</x:v>
      </x:c>
      <x:c r="J13" s="26" t="str"/>
      <x:c r="K13" s="17" t="str">
        <x:v>TN</x:v>
      </x:c>
      <x:c r="L13" s="17" t="str">
        <x:v>37201</x:v>
      </x:c>
      <x:c r="M13" s="29" t="n">
        <x:v>36.162621</x:v>
      </x:c>
      <x:c r="N13" s="29" t="n">
        <x:v>-86.776316</x:v>
      </x:c>
      <x:c r="O13" s="17" t="str">
        <x:v>address_or_site</x:v>
      </x:c>
      <x:c r="P13" s="17" t="str"/>
      <x:c r="Q13" s="17" t="str"/>
      <x:c r="R13" s="17" t="str">
        <x:v>ok</x:v>
      </x:c>
      <x:c r="S13" s="17" t="str">
        <x:v>decommissioned</x:v>
      </x:c>
      <x:c r="T13" s="17" t="str">
        <x:v>interconnection_facility</x:v>
      </x:c>
      <x:c r="U13" s="17" t="str"/>
      <x:c r="V13" s="26" t="str"/>
      <x:c r="W13" s="26" t="str"/>
      <x:c r="X13" s="26" t="str"/>
      <x:c r="Y13" s="26" t="str"/>
      <x:c r="Z13" s="17" t="str"/>
      <x:c r="AA13" s="17" t="str"/>
      <x:c r="AB13" s="17" t="str"/>
      <x:c r="AC13" s="35" t="str"/>
      <x:c r="AD13" s="17" t="str"/>
      <x:c r="AE13" s="17" t="str"/>
      <x:c r="AF13" s="17" t="str"/>
      <x:c r="AG13" s="17" t="str"/>
      <x:c r="AH13" s="17" t="n">
        <x:v>42838.915127314816</x:v>
      </x:c>
      <x:c r="AI13" s="17" t="n">
        <x:v>46204.929872685185</x:v>
      </x:c>
      <x:c r="AJ13" s="23" t="str">
        <x:v>http://h5datacenters.com/</x:v>
      </x:c>
      <x:c r="AK13" s="23" t="str">
        <x:v>https://www.peeringdb.com/api/fac?state=TN&amp;country=US</x:v>
      </x:c>
      <x:c r="AL13" s="23" t="str">
        <x:v>https://www.peeringdb.com/fac/3925</x:v>
      </x:c>
      <x:c r="AM13" s="23" t="str">
        <x:v>Site has been fully **DECOMMISSIONED** as of 6/30/2026</x:v>
      </x:c>
      <x:c r="AN13" s="17" t="str">
        <x:v>core_data_center</x:v>
      </x:c>
      <x:c r="AO13" s="77" t="b">
        <x:v>1</x:v>
      </x:c>
      <x:c r="AP13" s="23" t="str">
        <x:v>h5 data centers</x:v>
      </x:c>
      <x:c r="AQ13" s="17" t="str">
        <x:v>h5 data centers nashville tn01</x:v>
      </x:c>
      <x:c r="AR13" s="18" t="str">
        <x:v>211 commerce st</x:v>
      </x:c>
    </x:row>
    <x:row r="14" ht="28" hidden="0" customHeight="1">
      <x:c r="A14" s="16" t="str">
        <x:v>peeringdb</x:v>
      </x:c>
      <x:c r="B14" s="23" t="str">
        <x:v>4374</x:v>
      </x:c>
      <x:c r="C14" s="23" t="str">
        <x:v>TierPoint Nashville</x:v>
      </x:c>
      <x:c r="D14" s="17" t="str"/>
      <x:c r="E14" s="23" t="str">
        <x:v>TierPoint, LLC</x:v>
      </x:c>
      <x:c r="F14" s="17" t="str"/>
      <x:c r="G14" s="23" t="str">
        <x:v>311 Eddy Lane</x:v>
      </x:c>
      <x:c r="H14" s="17" t="str"/>
      <x:c r="I14" s="17" t="str">
        <x:v>Franklin</x:v>
      </x:c>
      <x:c r="J14" s="26" t="str"/>
      <x:c r="K14" s="17" t="str">
        <x:v>TN</x:v>
      </x:c>
      <x:c r="L14" s="17" t="str">
        <x:v>37064</x:v>
      </x:c>
      <x:c r="M14" s="29" t="n">
        <x:v>35.924575</x:v>
      </x:c>
      <x:c r="N14" s="29" t="n">
        <x:v>-86.85582</x:v>
      </x:c>
      <x:c r="O14" s="17" t="str">
        <x:v>address_or_site</x:v>
      </x:c>
      <x:c r="P14" s="17" t="str"/>
      <x:c r="Q14" s="17" t="str"/>
      <x:c r="R14" s="17" t="str">
        <x:v>ok</x:v>
      </x:c>
      <x:c r="S14" s="17" t="str">
        <x:v>operational</x:v>
      </x:c>
      <x:c r="T14" s="17" t="str">
        <x:v>interconnection_facility</x:v>
      </x:c>
      <x:c r="U14" s="17" t="str"/>
      <x:c r="V14" s="26" t="str"/>
      <x:c r="W14" s="26" t="str"/>
      <x:c r="X14" s="26" t="str"/>
      <x:c r="Y14" s="26" t="str"/>
      <x:c r="Z14" s="17" t="str"/>
      <x:c r="AA14" s="17" t="str"/>
      <x:c r="AB14" s="17" t="str"/>
      <x:c r="AC14" s="35" t="str"/>
      <x:c r="AD14" s="17" t="str"/>
      <x:c r="AE14" s="17" t="str"/>
      <x:c r="AF14" s="17" t="str"/>
      <x:c r="AG14" s="17" t="str"/>
      <x:c r="AH14" s="17" t="n">
        <x:v>42976.974756944444</x:v>
      </x:c>
      <x:c r="AI14" s="17" t="n">
        <x:v>45926.95111111111</x:v>
      </x:c>
      <x:c r="AJ14" s="23" t="str">
        <x:v>https://www.tierpoint.com/data-centers/tennessee/nashville/</x:v>
      </x:c>
      <x:c r="AK14" s="23" t="str">
        <x:v>https://www.peeringdb.com/api/fac?state=TN&amp;country=US</x:v>
      </x:c>
      <x:c r="AL14" s="23" t="str">
        <x:v>https://www.peeringdb.com/fac/4374</x:v>
      </x:c>
      <x:c r="AM14" s="23" t="str"/>
      <x:c r="AN14" s="17" t="str">
        <x:v>core_data_center</x:v>
      </x:c>
      <x:c r="AO14" s="77" t="b">
        <x:v>1</x:v>
      </x:c>
      <x:c r="AP14" s="23" t="str">
        <x:v>tierpoint</x:v>
      </x:c>
      <x:c r="AQ14" s="17" t="str">
        <x:v>tierpoint nashville</x:v>
      </x:c>
      <x:c r="AR14" s="18" t="str">
        <x:v>311 eddy lane</x:v>
      </x:c>
    </x:row>
    <x:row r="15" ht="28" hidden="0" customHeight="1">
      <x:c r="A15" s="16" t="str">
        <x:v>peeringdb</x:v>
      </x:c>
      <x:c r="B15" s="23" t="str">
        <x:v>5003</x:v>
      </x:c>
      <x:c r="C15" s="23" t="str">
        <x:v>Flexential - Nashville/Brentwood (NAS01/04)</x:v>
      </x:c>
      <x:c r="D15" s="17" t="str"/>
      <x:c r="E15" s="23" t="str">
        <x:v>Flexential Corp.</x:v>
      </x:c>
      <x:c r="F15" s="17" t="str"/>
      <x:c r="G15" s="23" t="str">
        <x:v>7100 Commerce Way, Suite 25,</x:v>
      </x:c>
      <x:c r="H15" s="17" t="str"/>
      <x:c r="I15" s="17" t="str">
        <x:v>Brentwood</x:v>
      </x:c>
      <x:c r="J15" s="26" t="str"/>
      <x:c r="K15" s="17" t="str">
        <x:v>TN</x:v>
      </x:c>
      <x:c r="L15" s="17" t="str">
        <x:v>37027</x:v>
      </x:c>
      <x:c r="M15" s="29" t="n">
        <x:v>35.972453</x:v>
      </x:c>
      <x:c r="N15" s="29" t="n">
        <x:v>-86.808748</x:v>
      </x:c>
      <x:c r="O15" s="17" t="str">
        <x:v>address_or_site</x:v>
      </x:c>
      <x:c r="P15" s="17" t="str"/>
      <x:c r="Q15" s="17" t="str"/>
      <x:c r="R15" s="17" t="str">
        <x:v>ok</x:v>
      </x:c>
      <x:c r="S15" s="17" t="str">
        <x:v>operational</x:v>
      </x:c>
      <x:c r="T15" s="17" t="str">
        <x:v>interconnection_facility</x:v>
      </x:c>
      <x:c r="U15" s="17" t="str"/>
      <x:c r="V15" s="26" t="str"/>
      <x:c r="W15" s="26" t="str"/>
      <x:c r="X15" s="26" t="str"/>
      <x:c r="Y15" s="26" t="str"/>
      <x:c r="Z15" s="17" t="str"/>
      <x:c r="AA15" s="17" t="str"/>
      <x:c r="AB15" s="17" t="str"/>
      <x:c r="AC15" s="35" t="str"/>
      <x:c r="AD15" s="17" t="str"/>
      <x:c r="AE15" s="17" t="str"/>
      <x:c r="AF15" s="17" t="str"/>
      <x:c r="AG15" s="17" t="str"/>
      <x:c r="AH15" s="17" t="n">
        <x:v>43161.71163194445</x:v>
      </x:c>
      <x:c r="AI15" s="17" t="n">
        <x:v>45926.951689814814</x:v>
      </x:c>
      <x:c r="AJ15" s="23" t="str">
        <x:v>https://www.flexential.com/</x:v>
      </x:c>
      <x:c r="AK15" s="23" t="str">
        <x:v>https://www.peeringdb.com/api/fac?state=TN&amp;country=US</x:v>
      </x:c>
      <x:c r="AL15" s="23" t="str">
        <x:v>https://www.peeringdb.com/fac/5003</x:v>
      </x:c>
      <x:c r="AM15" s="23" t="str"/>
      <x:c r="AN15" s="17" t="str">
        <x:v>core_data_center</x:v>
      </x:c>
      <x:c r="AO15" s="77" t="b">
        <x:v>1</x:v>
      </x:c>
      <x:c r="AP15" s="23" t="str">
        <x:v>flexential</x:v>
      </x:c>
      <x:c r="AQ15" s="17" t="str">
        <x:v>flexential nashville brentwood nas01 04</x:v>
      </x:c>
      <x:c r="AR15" s="18" t="str">
        <x:v>7100 commerce way</x:v>
      </x:c>
    </x:row>
    <x:row r="16" ht="28" hidden="0" customHeight="1">
      <x:c r="A16" s="16" t="str">
        <x:v>peeringdb</x:v>
      </x:c>
      <x:c r="B16" s="23" t="str">
        <x:v>5004</x:v>
      </x:c>
      <x:c r="C16" s="23" t="str">
        <x:v>Flexential - Nashville/Cool Springs (NAS02/03)</x:v>
      </x:c>
      <x:c r="D16" s="17" t="str"/>
      <x:c r="E16" s="23" t="str">
        <x:v>Flexential Corp.</x:v>
      </x:c>
      <x:c r="F16" s="17" t="str"/>
      <x:c r="G16" s="23" t="str">
        <x:v>425 Duke Drive, Suite 400</x:v>
      </x:c>
      <x:c r="H16" s="17" t="str"/>
      <x:c r="I16" s="17" t="str">
        <x:v>Franklin</x:v>
      </x:c>
      <x:c r="J16" s="26" t="str"/>
      <x:c r="K16" s="17" t="str">
        <x:v>TN</x:v>
      </x:c>
      <x:c r="L16" s="17" t="str">
        <x:v>37067</x:v>
      </x:c>
      <x:c r="M16" s="29" t="n">
        <x:v>35.951091</x:v>
      </x:c>
      <x:c r="N16" s="29" t="n">
        <x:v>-86.833251</x:v>
      </x:c>
      <x:c r="O16" s="17" t="str">
        <x:v>address_or_site</x:v>
      </x:c>
      <x:c r="P16" s="17" t="str"/>
      <x:c r="Q16" s="17" t="str"/>
      <x:c r="R16" s="17" t="str">
        <x:v>ok</x:v>
      </x:c>
      <x:c r="S16" s="17" t="str">
        <x:v>operational</x:v>
      </x:c>
      <x:c r="T16" s="17" t="str">
        <x:v>interconnection_facility</x:v>
      </x:c>
      <x:c r="U16" s="17" t="str"/>
      <x:c r="V16" s="26" t="str"/>
      <x:c r="W16" s="26" t="str"/>
      <x:c r="X16" s="26" t="str"/>
      <x:c r="Y16" s="26" t="str"/>
      <x:c r="Z16" s="17" t="str"/>
      <x:c r="AA16" s="17" t="str"/>
      <x:c r="AB16" s="17" t="str"/>
      <x:c r="AC16" s="35" t="str"/>
      <x:c r="AD16" s="17" t="str"/>
      <x:c r="AE16" s="17" t="str"/>
      <x:c r="AF16" s="17" t="str"/>
      <x:c r="AG16" s="17" t="str"/>
      <x:c r="AH16" s="17" t="n">
        <x:v>43161.7121875</x:v>
      </x:c>
      <x:c r="AI16" s="17" t="n">
        <x:v>45926.951689814814</x:v>
      </x:c>
      <x:c r="AJ16" s="23" t="str">
        <x:v>https://www.flexential.com/</x:v>
      </x:c>
      <x:c r="AK16" s="23" t="str">
        <x:v>https://www.peeringdb.com/api/fac?state=TN&amp;country=US</x:v>
      </x:c>
      <x:c r="AL16" s="23" t="str">
        <x:v>https://www.peeringdb.com/fac/5004</x:v>
      </x:c>
      <x:c r="AM16" s="23" t="str"/>
      <x:c r="AN16" s="17" t="str">
        <x:v>core_data_center</x:v>
      </x:c>
      <x:c r="AO16" s="77" t="b">
        <x:v>1</x:v>
      </x:c>
      <x:c r="AP16" s="23" t="str">
        <x:v>flexential</x:v>
      </x:c>
      <x:c r="AQ16" s="17" t="str">
        <x:v>flexential nashville cool springs nas02 03</x:v>
      </x:c>
      <x:c r="AR16" s="18" t="str">
        <x:v>425 duke dr</x:v>
      </x:c>
    </x:row>
    <x:row r="17" ht="28" hidden="0" customHeight="1">
      <x:c r="A17" s="16" t="str">
        <x:v>peeringdb</x:v>
      </x:c>
      <x:c r="B17" s="23" t="str">
        <x:v>5005</x:v>
      </x:c>
      <x:c r="C17" s="23" t="str">
        <x:v>Flexential - Nashville/Franklin (NAS05/06)</x:v>
      </x:c>
      <x:c r="D17" s="17" t="str"/>
      <x:c r="E17" s="23" t="str">
        <x:v>Flexential Corp.</x:v>
      </x:c>
      <x:c r="F17" s="17" t="str"/>
      <x:c r="G17" s="23" t="str">
        <x:v>4600 Carothers Parkway</x:v>
      </x:c>
      <x:c r="H17" s="17" t="str"/>
      <x:c r="I17" s="17" t="str">
        <x:v>Franklin</x:v>
      </x:c>
      <x:c r="J17" s="26" t="str"/>
      <x:c r="K17" s="17" t="str">
        <x:v>TN</x:v>
      </x:c>
      <x:c r="L17" s="17" t="str">
        <x:v>37067</x:v>
      </x:c>
      <x:c r="M17" s="29" t="n">
        <x:v>35.92028</x:v>
      </x:c>
      <x:c r="N17" s="29" t="n">
        <x:v>-86.815618</x:v>
      </x:c>
      <x:c r="O17" s="17" t="str">
        <x:v>address_or_site</x:v>
      </x:c>
      <x:c r="P17" s="17" t="str"/>
      <x:c r="Q17" s="17" t="str"/>
      <x:c r="R17" s="17" t="str">
        <x:v>ok</x:v>
      </x:c>
      <x:c r="S17" s="17" t="str">
        <x:v>operational</x:v>
      </x:c>
      <x:c r="T17" s="17" t="str">
        <x:v>interconnection_facility</x:v>
      </x:c>
      <x:c r="U17" s="17" t="str"/>
      <x:c r="V17" s="26" t="str"/>
      <x:c r="W17" s="26" t="str"/>
      <x:c r="X17" s="26" t="str"/>
      <x:c r="Y17" s="26" t="str"/>
      <x:c r="Z17" s="17" t="str"/>
      <x:c r="AA17" s="17" t="str"/>
      <x:c r="AB17" s="17" t="str"/>
      <x:c r="AC17" s="35" t="str"/>
      <x:c r="AD17" s="17" t="str"/>
      <x:c r="AE17" s="17" t="str"/>
      <x:c r="AF17" s="17" t="str"/>
      <x:c r="AG17" s="17" t="str"/>
      <x:c r="AH17" s="17" t="n">
        <x:v>43161.71263888889</x:v>
      </x:c>
      <x:c r="AI17" s="17" t="n">
        <x:v>45926.951689814814</x:v>
      </x:c>
      <x:c r="AJ17" s="23" t="str">
        <x:v>https://www.flexential.com/</x:v>
      </x:c>
      <x:c r="AK17" s="23" t="str">
        <x:v>https://www.peeringdb.com/api/fac?state=TN&amp;country=US</x:v>
      </x:c>
      <x:c r="AL17" s="23" t="str">
        <x:v>https://www.peeringdb.com/fac/5005</x:v>
      </x:c>
      <x:c r="AM17" s="23" t="str"/>
      <x:c r="AN17" s="17" t="str">
        <x:v>core_data_center</x:v>
      </x:c>
      <x:c r="AO17" s="77" t="b">
        <x:v>1</x:v>
      </x:c>
      <x:c r="AP17" s="23" t="str">
        <x:v>flexential</x:v>
      </x:c>
      <x:c r="AQ17" s="17" t="str">
        <x:v>flexential nashville franklin nas05 06</x:v>
      </x:c>
      <x:c r="AR17" s="18" t="str">
        <x:v>4600 carothers pkwy</x:v>
      </x:c>
    </x:row>
    <x:row r="18" ht="28" hidden="0" customHeight="1">
      <x:c r="A18" s="16" t="str">
        <x:v>peeringdb</x:v>
      </x:c>
      <x:c r="B18" s="23" t="str">
        <x:v>5483</x:v>
      </x:c>
      <x:c r="C18" s="23" t="str">
        <x:v>Peace Communications NSH2</x:v>
      </x:c>
      <x:c r="D18" s="17" t="str">
        <x:v>Nexus Group Nashville</x:v>
      </x:c>
      <x:c r="E18" s="23" t="str">
        <x:v>Peace Communications (Formerly Nexus Group)</x:v>
      </x:c>
      <x:c r="F18" s="17" t="str"/>
      <x:c r="G18" s="23" t="str">
        <x:v>1661 Murfreesboro Pike</x:v>
      </x:c>
      <x:c r="H18" s="17" t="str"/>
      <x:c r="I18" s="17" t="str">
        <x:v>Nashville</x:v>
      </x:c>
      <x:c r="J18" s="26" t="str"/>
      <x:c r="K18" s="17" t="str">
        <x:v>TN</x:v>
      </x:c>
      <x:c r="L18" s="17" t="str">
        <x:v>37217</x:v>
      </x:c>
      <x:c r="M18" s="29" t="n">
        <x:v>36.103326</x:v>
      </x:c>
      <x:c r="N18" s="29" t="n">
        <x:v>-86.668932</x:v>
      </x:c>
      <x:c r="O18" s="17" t="str">
        <x:v>address_or_site</x:v>
      </x:c>
      <x:c r="P18" s="17" t="str"/>
      <x:c r="Q18" s="17" t="str"/>
      <x:c r="R18" s="17" t="str">
        <x:v>ok</x:v>
      </x:c>
      <x:c r="S18" s="17" t="str">
        <x:v>operational</x:v>
      </x:c>
      <x:c r="T18" s="17" t="str">
        <x:v>interconnection_facility</x:v>
      </x:c>
      <x:c r="U18" s="17" t="str"/>
      <x:c r="V18" s="26" t="str"/>
      <x:c r="W18" s="26" t="str"/>
      <x:c r="X18" s="26" t="str"/>
      <x:c r="Y18" s="26" t="str"/>
      <x:c r="Z18" s="17" t="str"/>
      <x:c r="AA18" s="17" t="str"/>
      <x:c r="AB18" s="17" t="str"/>
      <x:c r="AC18" s="35" t="str"/>
      <x:c r="AD18" s="17" t="str"/>
      <x:c r="AE18" s="17" t="str"/>
      <x:c r="AF18" s="17" t="str"/>
      <x:c r="AG18" s="17" t="str"/>
      <x:c r="AH18" s="17" t="n">
        <x:v>43271.764386574076</x:v>
      </x:c>
      <x:c r="AI18" s="17" t="n">
        <x:v>45926.95216435185</x:v>
      </x:c>
      <x:c r="AJ18" s="23" t="str">
        <x:v>http://nxs.net/nashville-data-center/</x:v>
      </x:c>
      <x:c r="AK18" s="23" t="str">
        <x:v>https://www.peeringdb.com/api/fac?state=TN&amp;country=US</x:v>
      </x:c>
      <x:c r="AL18" s="23" t="str">
        <x:v>https://www.peeringdb.com/fac/5483</x:v>
      </x:c>
      <x:c r="AM18" s="23" t="str"/>
      <x:c r="AN18" s="17" t="str">
        <x:v>core_data_center</x:v>
      </x:c>
      <x:c r="AO18" s="77" t="b">
        <x:v>1</x:v>
      </x:c>
      <x:c r="AP18" s="23" t="str">
        <x:v>peace communications formerly nexus group</x:v>
      </x:c>
      <x:c r="AQ18" s="17" t="str">
        <x:v>peace communications nsh2</x:v>
      </x:c>
      <x:c r="AR18" s="18" t="str">
        <x:v>1661 murfreesboro pike</x:v>
      </x:c>
    </x:row>
    <x:row r="19" ht="28" hidden="0" customHeight="1">
      <x:c r="A19" s="16" t="str">
        <x:v>peeringdb</x:v>
      </x:c>
      <x:c r="B19" s="23" t="str">
        <x:v>7217</x:v>
      </x:c>
      <x:c r="C19" s="23" t="str">
        <x:v>DC BLOX CHA1 - DCBLOX Chattanooga</x:v>
      </x:c>
      <x:c r="D19" s="17" t="str">
        <x:v>DC Blox CHA | DC Blox Chattanooga</x:v>
      </x:c>
      <x:c r="E19" s="23" t="str">
        <x:v>DC BLOX Parent LLC</x:v>
      </x:c>
      <x:c r="F19" s="17" t="str"/>
      <x:c r="G19" s="23" t="str">
        <x:v>807 E 16th St,</x:v>
      </x:c>
      <x:c r="H19" s="17" t="str"/>
      <x:c r="I19" s="17" t="str">
        <x:v>Chattanooga</x:v>
      </x:c>
      <x:c r="J19" s="26" t="str"/>
      <x:c r="K19" s="17" t="str">
        <x:v>TN</x:v>
      </x:c>
      <x:c r="L19" s="17" t="str">
        <x:v>37408</x:v>
      </x:c>
      <x:c r="M19" s="29" t="n">
        <x:v>35.031582</x:v>
      </x:c>
      <x:c r="N19" s="29" t="n">
        <x:v>-85.297262</x:v>
      </x:c>
      <x:c r="O19" s="17" t="str">
        <x:v>address_or_site</x:v>
      </x:c>
      <x:c r="P19" s="17" t="str"/>
      <x:c r="Q19" s="17" t="str"/>
      <x:c r="R19" s="17" t="str">
        <x:v>ok</x:v>
      </x:c>
      <x:c r="S19" s="17" t="str">
        <x:v>operational</x:v>
      </x:c>
      <x:c r="T19" s="17" t="str">
        <x:v>interconnection_facility</x:v>
      </x:c>
      <x:c r="U19" s="17" t="str"/>
      <x:c r="V19" s="26" t="str"/>
      <x:c r="W19" s="26" t="str"/>
      <x:c r="X19" s="26" t="str"/>
      <x:c r="Y19" s="26" t="str"/>
      <x:c r="Z19" s="17" t="str"/>
      <x:c r="AA19" s="17" t="str"/>
      <x:c r="AB19" s="17" t="str"/>
      <x:c r="AC19" s="35" t="str"/>
      <x:c r="AD19" s="17" t="str"/>
      <x:c r="AE19" s="17" t="str"/>
      <x:c r="AF19" s="17" t="str"/>
      <x:c r="AG19" s="17" t="str"/>
      <x:c r="AH19" s="17" t="n">
        <x:v>43691.727013888885</x:v>
      </x:c>
      <x:c r="AI19" s="17" t="n">
        <x:v>45926.953576388885</x:v>
      </x:c>
      <x:c r="AJ19" s="23" t="str">
        <x:v>https://www.dcblox.com/data-centers/chattanooga/</x:v>
      </x:c>
      <x:c r="AK19" s="23" t="str">
        <x:v>https://www.peeringdb.com/api/fac?state=TN&amp;country=US</x:v>
      </x:c>
      <x:c r="AL19" s="23" t="str">
        <x:v>https://www.peeringdb.com/fac/7217</x:v>
      </x:c>
      <x:c r="AM19" s="23" t="str">
        <x:v>Chattanooga, TN city downtown data center.</x:v>
      </x:c>
      <x:c r="AN19" s="17" t="str">
        <x:v>core_data_center</x:v>
      </x:c>
      <x:c r="AO19" s="77" t="b">
        <x:v>1</x:v>
      </x:c>
      <x:c r="AP19" s="23" t="str">
        <x:v>dc blox</x:v>
      </x:c>
      <x:c r="AQ19" s="17" t="str">
        <x:v>dc blox cha1 dcblox chattanooga</x:v>
      </x:c>
      <x:c r="AR19" s="18" t="str">
        <x:v>807 e 16th st</x:v>
      </x:c>
    </x:row>
    <x:row r="20" ht="28" hidden="0" customHeight="1">
      <x:c r="A20" s="16" t="str">
        <x:v>peeringdb</x:v>
      </x:c>
      <x:c r="B20" s="23" t="str">
        <x:v>8473</x:v>
      </x:c>
      <x:c r="C20" s="23" t="str">
        <x:v>Expedient Memphis</x:v>
      </x:c>
      <x:c r="D20" s="17" t="str"/>
      <x:c r="E20" s="23" t="str">
        <x:v>Expedient</x:v>
      </x:c>
      <x:c r="F20" s="17" t="str"/>
      <x:c r="G20" s="23" t="str">
        <x:v>3180 Players Lane</x:v>
      </x:c>
      <x:c r="H20" s="17" t="str"/>
      <x:c r="I20" s="17" t="str">
        <x:v>Memphis</x:v>
      </x:c>
      <x:c r="J20" s="26" t="str"/>
      <x:c r="K20" s="17" t="str">
        <x:v>TN</x:v>
      </x:c>
      <x:c r="L20" s="17" t="str">
        <x:v>38125</x:v>
      </x:c>
      <x:c r="M20" s="29" t="n">
        <x:v>35.062965</x:v>
      </x:c>
      <x:c r="N20" s="29" t="n">
        <x:v>-89.786143</x:v>
      </x:c>
      <x:c r="O20" s="17" t="str">
        <x:v>address_or_site</x:v>
      </x:c>
      <x:c r="P20" s="17" t="str"/>
      <x:c r="Q20" s="17" t="str"/>
      <x:c r="R20" s="17" t="str">
        <x:v>ok</x:v>
      </x:c>
      <x:c r="S20" s="17" t="str">
        <x:v>operational</x:v>
      </x:c>
      <x:c r="T20" s="17" t="str">
        <x:v>interconnection_facility</x:v>
      </x:c>
      <x:c r="U20" s="17" t="str"/>
      <x:c r="V20" s="26" t="str"/>
      <x:c r="W20" s="26" t="str"/>
      <x:c r="X20" s="26" t="str"/>
      <x:c r="Y20" s="26" t="str"/>
      <x:c r="Z20" s="17" t="str"/>
      <x:c r="AA20" s="17" t="str"/>
      <x:c r="AB20" s="17" t="str"/>
      <x:c r="AC20" s="35" t="str"/>
      <x:c r="AD20" s="17" t="str"/>
      <x:c r="AE20" s="17" t="str"/>
      <x:c r="AF20" s="17" t="str"/>
      <x:c r="AG20" s="17" t="str"/>
      <x:c r="AH20" s="17" t="n">
        <x:v>43941.52375</x:v>
      </x:c>
      <x:c r="AI20" s="17" t="n">
        <x:v>45926.954675925925</x:v>
      </x:c>
      <x:c r="AJ20" s="23" t="str">
        <x:v>https://www.expedient.com/data-centers/</x:v>
      </x:c>
      <x:c r="AK20" s="23" t="str">
        <x:v>https://www.peeringdb.com/api/fac?state=TN&amp;country=US</x:v>
      </x:c>
      <x:c r="AL20" s="23" t="str">
        <x:v>https://www.peeringdb.com/fac/8473</x:v>
      </x:c>
      <x:c r="AM20" s="23" t="str"/>
      <x:c r="AN20" s="17" t="str">
        <x:v>core_data_center</x:v>
      </x:c>
      <x:c r="AO20" s="77" t="b">
        <x:v>1</x:v>
      </x:c>
      <x:c r="AP20" s="23" t="str">
        <x:v>expedient</x:v>
      </x:c>
      <x:c r="AQ20" s="17" t="str">
        <x:v>expedient memphis</x:v>
      </x:c>
      <x:c r="AR20" s="18" t="str">
        <x:v>3180 players lane</x:v>
      </x:c>
    </x:row>
    <x:row r="21" ht="28" hidden="0" customHeight="1">
      <x:c r="A21" s="16" t="str">
        <x:v>peeringdb</x:v>
      </x:c>
      <x:c r="B21" s="23" t="str">
        <x:v>14177</x:v>
      </x:c>
      <x:c r="C21" s="23" t="str">
        <x:v>Peace Communications CHA1</x:v>
      </x:c>
      <x:c r="D21" s="17" t="str"/>
      <x:c r="E21" s="23" t="str">
        <x:v>Peace Communications</x:v>
      </x:c>
      <x:c r="F21" s="17" t="str"/>
      <x:c r="G21" s="23" t="str">
        <x:v>1100 E 11th Street</x:v>
      </x:c>
      <x:c r="H21" s="17" t="str"/>
      <x:c r="I21" s="17" t="str">
        <x:v>Chattanooga</x:v>
      </x:c>
      <x:c r="J21" s="26" t="str"/>
      <x:c r="K21" s="17" t="str">
        <x:v>TN</x:v>
      </x:c>
      <x:c r="L21" s="17" t="str">
        <x:v>37403</x:v>
      </x:c>
      <x:c r="M21" s="29" t="n">
        <x:v>35.03746</x:v>
      </x:c>
      <x:c r="N21" s="29" t="n">
        <x:v>-85.293181</x:v>
      </x:c>
      <x:c r="O21" s="17" t="str">
        <x:v>address_or_site</x:v>
      </x:c>
      <x:c r="P21" s="17" t="str"/>
      <x:c r="Q21" s="17" t="str"/>
      <x:c r="R21" s="17" t="str">
        <x:v>ok</x:v>
      </x:c>
      <x:c r="S21" s="17" t="str">
        <x:v>operational</x:v>
      </x:c>
      <x:c r="T21" s="17" t="str">
        <x:v>interconnection_facility</x:v>
      </x:c>
      <x:c r="U21" s="17" t="str"/>
      <x:c r="V21" s="26" t="str"/>
      <x:c r="W21" s="26" t="str"/>
      <x:c r="X21" s="26" t="str"/>
      <x:c r="Y21" s="26" t="str"/>
      <x:c r="Z21" s="17" t="str"/>
      <x:c r="AA21" s="17" t="str"/>
      <x:c r="AB21" s="17" t="str"/>
      <x:c r="AC21" s="35" t="str"/>
      <x:c r="AD21" s="17" t="str"/>
      <x:c r="AE21" s="17" t="str"/>
      <x:c r="AF21" s="17" t="str"/>
      <x:c r="AG21" s="17" t="str"/>
      <x:c r="AH21" s="17" t="n">
        <x:v>45217.7277662037</x:v>
      </x:c>
      <x:c r="AI21" s="17" t="n">
        <x:v>45926.96059027778</x:v>
      </x:c>
      <x:c r="AJ21" s="23" t="str">
        <x:v>https://www.peacecom.net/pages/colocation</x:v>
      </x:c>
      <x:c r="AK21" s="23" t="str">
        <x:v>https://www.peeringdb.com/api/fac?state=TN&amp;country=US</x:v>
      </x:c>
      <x:c r="AL21" s="23" t="str">
        <x:v>https://www.peeringdb.com/fac/14177</x:v>
      </x:c>
      <x:c r="AM21" s="23" t="str"/>
      <x:c r="AN21" s="17" t="str">
        <x:v>core_data_center</x:v>
      </x:c>
      <x:c r="AO21" s="77" t="b">
        <x:v>1</x:v>
      </x:c>
      <x:c r="AP21" s="23" t="str">
        <x:v>peace communications</x:v>
      </x:c>
      <x:c r="AQ21" s="17" t="str">
        <x:v>peace communications cha1</x:v>
      </x:c>
      <x:c r="AR21" s="18" t="str">
        <x:v>1100 e 11th st</x:v>
      </x:c>
    </x:row>
    <x:row r="22" ht="28" hidden="0" customHeight="1">
      <x:c r="A22" s="16" t="str">
        <x:v>fractracker</x:v>
      </x:c>
      <x:c r="B22" s="23" t="str">
        <x:v>493</x:v>
      </x:c>
      <x:c r="C22" s="23" t="str">
        <x:v>DC Blox</x:v>
      </x:c>
      <x:c r="D22" s="17" t="str"/>
      <x:c r="E22" s="23" t="str"/>
      <x:c r="F22" s="17" t="str"/>
      <x:c r="G22" s="23" t="str">
        <x:v>807 E 16th St</x:v>
      </x:c>
      <x:c r="H22" s="17" t="str"/>
      <x:c r="I22" s="17" t="str">
        <x:v>Chattanooga</x:v>
      </x:c>
      <x:c r="J22" s="26" t="str">
        <x:v>Hamilton</x:v>
      </x:c>
      <x:c r="K22" s="17" t="str">
        <x:v>TN</x:v>
      </x:c>
      <x:c r="L22" s="17" t="str">
        <x:v>37408</x:v>
      </x:c>
      <x:c r="M22" s="29" t="n">
        <x:v>35.03158</x:v>
      </x:c>
      <x:c r="N22" s="29" t="n">
        <x:v>-85.2973</x:v>
      </x:c>
      <x:c r="O22" s="17" t="str">
        <x:v>address_or_site</x:v>
      </x:c>
      <x:c r="P22" s="17" t="str">
        <x:v>High</x:v>
      </x:c>
      <x:c r="Q22" s="17" t="str">
        <x:v>Google Maps only</x:v>
      </x:c>
      <x:c r="R22" s="17" t="str">
        <x:v>Operating</x:v>
      </x:c>
      <x:c r="S22" s="17" t="str">
        <x:v>operational</x:v>
      </x:c>
      <x:c r="T22" s="17" t="str">
        <x:v>data_center</x:v>
      </x:c>
      <x:c r="U22" s="17" t="str"/>
      <x:c r="V22" s="26" t="str"/>
      <x:c r="W22" s="26" t="str"/>
      <x:c r="X22" s="26" t="str"/>
      <x:c r="Y22" s="26" t="str"/>
      <x:c r="Z22" s="17" t="str"/>
      <x:c r="AA22" s="17" t="str"/>
      <x:c r="AB22" s="17" t="str"/>
      <x:c r="AC22" s="35" t="str"/>
      <x:c r="AD22" s="17" t="str"/>
      <x:c r="AE22" s="17" t="str"/>
      <x:c r="AF22" s="17" t="str"/>
      <x:c r="AG22" s="17" t="str"/>
      <x:c r="AH22" s="17" t="n">
        <x:v>45894</x:v>
      </x:c>
      <x:c r="AI22" s="17" t="n">
        <x:v>45894</x:v>
      </x:c>
      <x:c r="AJ22" s="23" t="str">
        <x:v>https://services.arcgis.com/jDGuO8tYggdCCnUJ/arcgis/rest/services/data_centers_v4_agol_all/FeatureServer/0</x:v>
      </x:c>
      <x:c r="AK22" s="23" t="str">
        <x:v>https://services.arcgis.com/jDGuO8tYggdCCnUJ/arcgis/rest/services/data_centers_v4_agol_all/FeatureServer/0</x:v>
      </x:c>
      <x:c r="AL22" s="23" t="str">
        <x:v>https://services.arcgis.com/jDGuO8tYggdCCnUJ/arcgis/rest/services/data_centers_v4_agol_all/FeatureServer/0</x:v>
      </x:c>
      <x:c r="AM22" s="23" t="str"/>
      <x:c r="AN22" s="17" t="str">
        <x:v>core_data_center</x:v>
      </x:c>
      <x:c r="AO22" s="77" t="b">
        <x:v>1</x:v>
      </x:c>
      <x:c r="AP22" s="23" t="str"/>
      <x:c r="AQ22" s="17" t="str">
        <x:v>dc blox</x:v>
      </x:c>
      <x:c r="AR22" s="18" t="str">
        <x:v>807 e 16th st</x:v>
      </x:c>
    </x:row>
    <x:row r="23" ht="28" hidden="0" customHeight="1">
      <x:c r="A23" s="16" t="str">
        <x:v>fractracker</x:v>
      </x:c>
      <x:c r="B23" s="23" t="str">
        <x:v>1768853682905-5418</x:v>
      </x:c>
      <x:c r="C23" s="23" t="str">
        <x:v>Jailhouse Studios Data Center</x:v>
      </x:c>
      <x:c r="D23" s="17" t="str"/>
      <x:c r="E23" s="23" t="str"/>
      <x:c r="F23" s="17" t="str"/>
      <x:c r="G23" s="23" t="str">
        <x:v>601 Walnut St</x:v>
      </x:c>
      <x:c r="H23" s="17" t="str"/>
      <x:c r="I23" s="17" t="str">
        <x:v>Chattanooga</x:v>
      </x:c>
      <x:c r="J23" s="26" t="str">
        <x:v>Hamilton</x:v>
      </x:c>
      <x:c r="K23" s="17" t="str">
        <x:v>TN</x:v>
      </x:c>
      <x:c r="L23" s="17" t="str">
        <x:v>37402</x:v>
      </x:c>
      <x:c r="M23" s="29" t="n">
        <x:v>35.049557</x:v>
      </x:c>
      <x:c r="N23" s="29" t="n">
        <x:v>-85.30803</x:v>
      </x:c>
      <x:c r="O23" s="17" t="str">
        <x:v>address_or_site</x:v>
      </x:c>
      <x:c r="P23" s="17" t="str">
        <x:v>High</x:v>
      </x:c>
      <x:c r="Q23" s="17" t="str">
        <x:v>Google Maps and other sources</x:v>
      </x:c>
      <x:c r="R23" s="17" t="str">
        <x:v>Approved/Permitted/Under construction</x:v>
      </x:c>
      <x:c r="S23" s="17" t="str">
        <x:v>under_construction</x:v>
      </x:c>
      <x:c r="T23" s="17" t="str">
        <x:v>data_center</x:v>
      </x:c>
      <x:c r="U23" s="17" t="str"/>
      <x:c r="V23" s="26" t="str"/>
      <x:c r="W23" s="26" t="str"/>
      <x:c r="X23" s="26" t="str"/>
      <x:c r="Y23" s="26" t="str"/>
      <x:c r="Z23" s="17" t="str"/>
      <x:c r="AA23" s="17" t="str"/>
      <x:c r="AB23" s="17" t="str"/>
      <x:c r="AC23" s="35" t="str"/>
      <x:c r="AD23" s="17" t="str"/>
      <x:c r="AE23" s="17" t="str"/>
      <x:c r="AF23" s="17" t="str"/>
      <x:c r="AG23" s="17" t="str"/>
      <x:c r="AH23" s="17" t="n">
        <x:v>46041</x:v>
      </x:c>
      <x:c r="AI23" s="17" t="n">
        <x:v>46041</x:v>
      </x:c>
      <x:c r="AJ23" s="23" t="str">
        <x:v>https://foxchattanooga.com/news/local/hamilton-county-advances-plan-to-convert-old-jail-into-ai-data-center-and-music-studio | https://www.chattanoogan.com/2026/3/18/516194/County-Commission-Approves-Lease-For.aspx | https://www.datacenterdynamics.com/en/news/former-jail-in-chattanooga-tennessee-targeted-for-production-space-and-data-center/</x:v>
      </x:c>
      <x:c r="AK23" s="23" t="str">
        <x:v>https://services.arcgis.com/jDGuO8tYggdCCnUJ/arcgis/rest/services/data_centers_v4_agol_all/FeatureServer/0</x:v>
      </x:c>
      <x:c r="AL23" s="23" t="str">
        <x:v>https://services.arcgis.com/jDGuO8tYggdCCnUJ/arcgis/rest/services/data_centers_v4_agol_all/FeatureServer/0</x:v>
      </x:c>
      <x:c r="AM23" s="23" t="str">
        <x:v>Tiny data center, only 10 racks of servers</x:v>
      </x:c>
      <x:c r="AN23" s="17" t="str">
        <x:v>core_data_center</x:v>
      </x:c>
      <x:c r="AO23" s="77" t="b">
        <x:v>1</x:v>
      </x:c>
      <x:c r="AP23" s="23" t="str"/>
      <x:c r="AQ23" s="17" t="str">
        <x:v>jailhouse studios data center</x:v>
      </x:c>
      <x:c r="AR23" s="18" t="str">
        <x:v>601 walnut st</x:v>
      </x:c>
    </x:row>
    <x:row r="24" ht="28" hidden="0" customHeight="1">
      <x:c r="A24" s="16" t="str">
        <x:v>fractracker</x:v>
      </x:c>
      <x:c r="B24" s="23" t="str">
        <x:v>495</x:v>
      </x:c>
      <x:c r="C24" s="23" t="str">
        <x:v>Cielo Digital Infrastructure</x:v>
      </x:c>
      <x:c r="D24" s="17" t="str"/>
      <x:c r="E24" s="23" t="str"/>
      <x:c r="F24" s="17" t="str"/>
      <x:c r="G24" s="23" t="str"/>
      <x:c r="H24" s="17" t="str"/>
      <x:c r="I24" s="17" t="str">
        <x:v>Clarksville</x:v>
      </x:c>
      <x:c r="J24" s="26" t="str">
        <x:v>Montgomery</x:v>
      </x:c>
      <x:c r="K24" s="17" t="str">
        <x:v>TN</x:v>
      </x:c>
      <x:c r="L24" s="17" t="str">
        <x:v>37040</x:v>
      </x:c>
      <x:c r="M24" s="29" t="n">
        <x:v>36.57269</x:v>
      </x:c>
      <x:c r="N24" s="29" t="n">
        <x:v>-87.3423</x:v>
      </x:c>
      <x:c r="O24" s="17" t="str">
        <x:v>area_or_city</x:v>
      </x:c>
      <x:c r="P24" s="17" t="str">
        <x:v>Low</x:v>
      </x:c>
      <x:c r="Q24" s="17" t="str">
        <x:v>Google Maps and other sources</x:v>
      </x:c>
      <x:c r="R24" s="17" t="str">
        <x:v>Proposed</x:v>
      </x:c>
      <x:c r="S24" s="17" t="str">
        <x:v>proposed</x:v>
      </x:c>
      <x:c r="T24" s="17" t="str">
        <x:v>data_center</x:v>
      </x:c>
      <x:c r="U24" s="17" t="str"/>
      <x:c r="V24" s="26" t="str">
        <x:v>350</x:v>
      </x:c>
      <x:c r="W24" s="26" t="str">
        <x:v>350</x:v>
      </x:c>
      <x:c r="X24" s="26" t="str">
        <x:v>350</x:v>
      </x:c>
      <x:c r="Y24" s="26" t="str"/>
      <x:c r="Z24" s="17" t="str">
        <x:v>107</x:v>
      </x:c>
      <x:c r="AA24" s="17" t="str"/>
      <x:c r="AB24" s="17" t="str"/>
      <x:c r="AC24" s="35" t="str"/>
      <x:c r="AD24" s="17" t="str"/>
      <x:c r="AE24" s="17" t="str"/>
      <x:c r="AF24" s="17" t="str"/>
      <x:c r="AG24" s="17" t="str"/>
      <x:c r="AH24" s="17" t="n">
        <x:v>45832</x:v>
      </x:c>
      <x:c r="AI24" s="17" t="n">
        <x:v>45832</x:v>
      </x:c>
      <x:c r="AJ24" s="23" t="str">
        <x:v>https://www.datacenterdynamics.com/en/news/cielo-digital-infrastructure-plans-300mw-data-center-campus-in-south-carolina/</x:v>
      </x:c>
      <x:c r="AK24" s="23" t="str">
        <x:v>https://services.arcgis.com/jDGuO8tYggdCCnUJ/arcgis/rest/services/data_centers_v4_agol_all/FeatureServer/0</x:v>
      </x:c>
      <x:c r="AL24" s="23" t="str">
        <x:v>https://services.arcgis.com/jDGuO8tYggdCCnUJ/arcgis/rest/services/data_centers_v4_agol_all/FeatureServer/0</x:v>
      </x:c>
      <x:c r="AM24" s="23" t="str"/>
      <x:c r="AN24" s="17" t="str">
        <x:v>core_data_center</x:v>
      </x:c>
      <x:c r="AO24" s="77" t="b">
        <x:v>1</x:v>
      </x:c>
      <x:c r="AP24" s="23" t="str"/>
      <x:c r="AQ24" s="17" t="str">
        <x:v>cielo digital infrastructure</x:v>
      </x:c>
      <x:c r="AR24" s="18" t="str"/>
    </x:row>
    <x:row r="25" ht="28" hidden="0" customHeight="1">
      <x:c r="A25" s="16" t="str">
        <x:v>fractracker</x:v>
      </x:c>
      <x:c r="B25" s="23" t="str">
        <x:v>494</x:v>
      </x:c>
      <x:c r="C25" s="23" t="str">
        <x:v>Google Clarksville Data Center</x:v>
      </x:c>
      <x:c r="D25" s="17" t="str"/>
      <x:c r="E25" s="23" t="str">
        <x:v>Google</x:v>
      </x:c>
      <x:c r="F25" s="17" t="str"/>
      <x:c r="G25" s="23" t="str">
        <x:v>1000 Boolean Dr</x:v>
      </x:c>
      <x:c r="H25" s="17" t="str"/>
      <x:c r="I25" s="17" t="str">
        <x:v>Clarksville</x:v>
      </x:c>
      <x:c r="J25" s="26" t="str">
        <x:v>Montgomery</x:v>
      </x:c>
      <x:c r="K25" s="17" t="str">
        <x:v>TN</x:v>
      </x:c>
      <x:c r="L25" s="17" t="str">
        <x:v>37040</x:v>
      </x:c>
      <x:c r="M25" s="29" t="n">
        <x:v>36.62078</x:v>
      </x:c>
      <x:c r="N25" s="29" t="n">
        <x:v>-87.2622</x:v>
      </x:c>
      <x:c r="O25" s="17" t="str">
        <x:v>address_or_site</x:v>
      </x:c>
      <x:c r="P25" s="17" t="str">
        <x:v>High</x:v>
      </x:c>
      <x:c r="Q25" s="17" t="str">
        <x:v>Google Maps only</x:v>
      </x:c>
      <x:c r="R25" s="17" t="str">
        <x:v>Operating</x:v>
      </x:c>
      <x:c r="S25" s="17" t="str">
        <x:v>operational</x:v>
      </x:c>
      <x:c r="T25" s="17" t="str">
        <x:v>data_center</x:v>
      </x:c>
      <x:c r="U25" s="17" t="str"/>
      <x:c r="V25" s="26" t="str"/>
      <x:c r="W25" s="26" t="str"/>
      <x:c r="X25" s="26" t="str"/>
      <x:c r="Y25" s="26" t="str"/>
      <x:c r="Z25" s="17" t="str"/>
      <x:c r="AA25" s="17" t="str"/>
      <x:c r="AB25" s="17" t="str"/>
      <x:c r="AC25" s="35" t="str">
        <x:v>$600 million</x:v>
      </x:c>
      <x:c r="AD25" s="17" t="str"/>
      <x:c r="AE25" s="17" t="str"/>
      <x:c r="AF25" s="17" t="str"/>
      <x:c r="AG25" s="17" t="str"/>
      <x:c r="AH25" s="17" t="n">
        <x:v>45804</x:v>
      </x:c>
      <x:c r="AI25" s="17" t="n">
        <x:v>45804</x:v>
      </x:c>
      <x:c r="AJ25" s="23" t="str">
        <x:v>https://services.arcgis.com/jDGuO8tYggdCCnUJ/arcgis/rest/services/data_centers_v4_agol_all/FeatureServer/0</x:v>
      </x:c>
      <x:c r="AK25" s="23" t="str">
        <x:v>https://services.arcgis.com/jDGuO8tYggdCCnUJ/arcgis/rest/services/data_centers_v4_agol_all/FeatureServer/0</x:v>
      </x:c>
      <x:c r="AL25" s="23" t="str">
        <x:v>https://services.arcgis.com/jDGuO8tYggdCCnUJ/arcgis/rest/services/data_centers_v4_agol_all/FeatureServer/0</x:v>
      </x:c>
      <x:c r="AM25" s="23" t="str"/>
      <x:c r="AN25" s="17" t="str">
        <x:v>core_data_center</x:v>
      </x:c>
      <x:c r="AO25" s="77" t="b">
        <x:v>1</x:v>
      </x:c>
      <x:c r="AP25" s="23" t="str">
        <x:v>google</x:v>
      </x:c>
      <x:c r="AQ25" s="17" t="str">
        <x:v>google clarksville data center</x:v>
      </x:c>
      <x:c r="AR25" s="18" t="str">
        <x:v>1000 boolean dr</x:v>
      </x:c>
    </x:row>
    <x:row r="26" ht="28" hidden="0" customHeight="1">
      <x:c r="A26" s="16" t="str">
        <x:v>fractracker</x:v>
      </x:c>
      <x:c r="B26" s="23" t="str">
        <x:v>496</x:v>
      </x:c>
      <x:c r="C26" s="23" t="str">
        <x:v>Gallatin Data Center</x:v>
      </x:c>
      <x:c r="D26" s="17" t="str"/>
      <x:c r="E26" s="23" t="str">
        <x:v>Meta</x:v>
      </x:c>
      <x:c r="F26" s="17" t="str"/>
      <x:c r="G26" s="23" t="str">
        <x:v>One Meta Lp</x:v>
      </x:c>
      <x:c r="H26" s="17" t="str"/>
      <x:c r="I26" s="17" t="str">
        <x:v>Gallatin</x:v>
      </x:c>
      <x:c r="J26" s="26" t="str">
        <x:v>Sumner</x:v>
      </x:c>
      <x:c r="K26" s="17" t="str">
        <x:v>TN</x:v>
      </x:c>
      <x:c r="L26" s="17" t="str">
        <x:v>37066</x:v>
      </x:c>
      <x:c r="M26" s="29" t="n">
        <x:v>36.41011</x:v>
      </x:c>
      <x:c r="N26" s="29" t="n">
        <x:v>-86.3724</x:v>
      </x:c>
      <x:c r="O26" s="17" t="str">
        <x:v>address_or_site</x:v>
      </x:c>
      <x:c r="P26" s="17" t="str">
        <x:v>High</x:v>
      </x:c>
      <x:c r="Q26" s="17" t="str">
        <x:v>Google Maps only</x:v>
      </x:c>
      <x:c r="R26" s="17" t="str">
        <x:v>Operating</x:v>
      </x:c>
      <x:c r="S26" s="17" t="str">
        <x:v>operational</x:v>
      </x:c>
      <x:c r="T26" s="17" t="str">
        <x:v>data_center</x:v>
      </x:c>
      <x:c r="U26" s="17" t="str"/>
      <x:c r="V26" s="26" t="str"/>
      <x:c r="W26" s="26" t="str"/>
      <x:c r="X26" s="26" t="str"/>
      <x:c r="Y26" s="26" t="str">
        <x:v>1900000</x:v>
      </x:c>
      <x:c r="Z26" s="17" t="str"/>
      <x:c r="AA26" s="17" t="str"/>
      <x:c r="AB26" s="17" t="str"/>
      <x:c r="AC26" s="35" t="str"/>
      <x:c r="AD26" s="17" t="str"/>
      <x:c r="AE26" s="17" t="str"/>
      <x:c r="AF26" s="17" t="str"/>
      <x:c r="AG26" s="17" t="str"/>
      <x:c r="AH26" s="17" t="n">
        <x:v>45880</x:v>
      </x:c>
      <x:c r="AI26" s="17" t="n">
        <x:v>45880</x:v>
      </x:c>
      <x:c r="AJ26" s="23" t="str">
        <x:v>https://www.datacenterdynamics.com/en/news/meta-to-expand-tennessee-data-center-campus/</x:v>
      </x:c>
      <x:c r="AK26" s="23" t="str">
        <x:v>https://services.arcgis.com/jDGuO8tYggdCCnUJ/arcgis/rest/services/data_centers_v4_agol_all/FeatureServer/0</x:v>
      </x:c>
      <x:c r="AL26" s="23" t="str">
        <x:v>https://services.arcgis.com/jDGuO8tYggdCCnUJ/arcgis/rest/services/data_centers_v4_agol_all/FeatureServer/0</x:v>
      </x:c>
      <x:c r="AM26" s="23" t="str"/>
      <x:c r="AN26" s="17" t="str">
        <x:v>core_data_center</x:v>
      </x:c>
      <x:c r="AO26" s="77" t="b">
        <x:v>1</x:v>
      </x:c>
      <x:c r="AP26" s="23" t="str">
        <x:v>meta</x:v>
      </x:c>
      <x:c r="AQ26" s="17" t="str">
        <x:v>gallatin data center</x:v>
      </x:c>
      <x:c r="AR26" s="18" t="str">
        <x:v>one meta lp</x:v>
      </x:c>
    </x:row>
    <x:row r="27" ht="28" hidden="0" customHeight="1">
      <x:c r="A27" s="16" t="str">
        <x:v>fractracker</x:v>
      </x:c>
      <x:c r="B27" s="23" t="str">
        <x:v>497</x:v>
      </x:c>
      <x:c r="C27" s="23" t="str">
        <x:v>Arnold Air Force Base Data Center</x:v>
      </x:c>
      <x:c r="D27" s="17" t="str"/>
      <x:c r="E27" s="23" t="str"/>
      <x:c r="F27" s="17" t="str"/>
      <x:c r="G27" s="23" t="str"/>
      <x:c r="H27" s="17" t="str"/>
      <x:c r="I27" s="17" t="str">
        <x:v>Manchester</x:v>
      </x:c>
      <x:c r="J27" s="26" t="str">
        <x:v>Coffee</x:v>
      </x:c>
      <x:c r="K27" s="17" t="str">
        <x:v>TN</x:v>
      </x:c>
      <x:c r="L27" s="17" t="str">
        <x:v>37355</x:v>
      </x:c>
      <x:c r="M27" s="29" t="n">
        <x:v>35.37539</x:v>
      </x:c>
      <x:c r="N27" s="29" t="n">
        <x:v>-86.07293</x:v>
      </x:c>
      <x:c r="O27" s="17" t="str">
        <x:v>approximate_site</x:v>
      </x:c>
      <x:c r="P27" s="17" t="str">
        <x:v>Medium</x:v>
      </x:c>
      <x:c r="Q27" s="17" t="str">
        <x:v>Google Maps and other sources</x:v>
      </x:c>
      <x:c r="R27" s="17" t="str">
        <x:v>Proposed</x:v>
      </x:c>
      <x:c r="S27" s="17" t="str">
        <x:v>proposed</x:v>
      </x:c>
      <x:c r="T27" s="17" t="str">
        <x:v>data_center</x:v>
      </x:c>
      <x:c r="U27" s="17" t="str"/>
      <x:c r="V27" s="26" t="str"/>
      <x:c r="W27" s="26" t="str"/>
      <x:c r="X27" s="26" t="str"/>
      <x:c r="Y27" s="26" t="str"/>
      <x:c r="Z27" s="17" t="str">
        <x:v>274</x:v>
      </x:c>
      <x:c r="AA27" s="17" t="str"/>
      <x:c r="AB27" s="17" t="str"/>
      <x:c r="AC27" s="35" t="str"/>
      <x:c r="AD27" s="17" t="str"/>
      <x:c r="AE27" s="17" t="str"/>
      <x:c r="AF27" s="17" t="str"/>
      <x:c r="AG27" s="17" t="str"/>
      <x:c r="AH27" s="17" t="n">
        <x:v>45951</x:v>
      </x:c>
      <x:c r="AI27" s="17" t="n">
        <x:v>45951</x:v>
      </x:c>
      <x:c r="AJ27" s="23" t="str">
        <x:v>https://www.datacenterdynamics.com/en/news/us-department-of-the-air-force-accepting-proposals-for-ai-data-centers-in-military-bases/</x:v>
      </x:c>
      <x:c r="AK27" s="23" t="str">
        <x:v>https://services.arcgis.com/jDGuO8tYggdCCnUJ/arcgis/rest/services/data_centers_v4_agol_all/FeatureServer/0</x:v>
      </x:c>
      <x:c r="AL27" s="23" t="str">
        <x:v>https://services.arcgis.com/jDGuO8tYggdCCnUJ/arcgis/rest/services/data_centers_v4_agol_all/FeatureServer/0</x:v>
      </x:c>
      <x:c r="AM27" s="23" t="str"/>
      <x:c r="AN27" s="17" t="str">
        <x:v>core_data_center</x:v>
      </x:c>
      <x:c r="AO27" s="77" t="b">
        <x:v>1</x:v>
      </x:c>
      <x:c r="AP27" s="23" t="str"/>
      <x:c r="AQ27" s="17" t="str">
        <x:v>arnold air force base data center</x:v>
      </x:c>
      <x:c r="AR27" s="18" t="str"/>
    </x:row>
    <x:row r="28" ht="28" hidden="0" customHeight="1">
      <x:c r="A28" s="16" t="str">
        <x:v>fractracker</x:v>
      </x:c>
      <x:c r="B28" s="23" t="str">
        <x:v>1780024884691-1880</x:v>
      </x:c>
      <x:c r="C28" s="23" t="str">
        <x:v>Hixson Data Center</x:v>
      </x:c>
      <x:c r="D28" s="17" t="str"/>
      <x:c r="E28" s="23" t="str"/>
      <x:c r="F28" s="17" t="str"/>
      <x:c r="G28" s="23" t="str">
        <x:v>possibly Bybee Branch Rd</x:v>
      </x:c>
      <x:c r="H28" s="17" t="str"/>
      <x:c r="I28" s="17" t="str">
        <x:v>McMinnville</x:v>
      </x:c>
      <x:c r="J28" s="26" t="str">
        <x:v>Warren</x:v>
      </x:c>
      <x:c r="K28" s="17" t="str">
        <x:v>TN</x:v>
      </x:c>
      <x:c r="L28" s="17" t="str">
        <x:v>37110</x:v>
      </x:c>
      <x:c r="M28" s="29" t="n">
        <x:v>35.718937</x:v>
      </x:c>
      <x:c r="N28" s="29" t="n">
        <x:v>-85.83887</x:v>
      </x:c>
      <x:c r="O28" s="17" t="str">
        <x:v>area_or_city</x:v>
      </x:c>
      <x:c r="P28" s="17" t="str">
        <x:v>Low</x:v>
      </x:c>
      <x:c r="Q28" s="17" t="str">
        <x:v>Google Maps and other sources</x:v>
      </x:c>
      <x:c r="R28" s="17" t="str">
        <x:v>Proposed</x:v>
      </x:c>
      <x:c r="S28" s="17" t="str">
        <x:v>proposed</x:v>
      </x:c>
      <x:c r="T28" s="17" t="str">
        <x:v>data_center</x:v>
      </x:c>
      <x:c r="U28" s="17" t="str"/>
      <x:c r="V28" s="26" t="str">
        <x:v>25</x:v>
      </x:c>
      <x:c r="W28" s="26" t="str">
        <x:v>25</x:v>
      </x:c>
      <x:c r="X28" s="26" t="str">
        <x:v>25</x:v>
      </x:c>
      <x:c r="Y28" s="26" t="str">
        <x:v>96065</x:v>
      </x:c>
      <x:c r="Z28" s="17" t="str"/>
      <x:c r="AA28" s="17" t="str"/>
      <x:c r="AB28" s="17" t="str"/>
      <x:c r="AC28" s="35" t="str"/>
      <x:c r="AD28" s="17" t="str">
        <x:v>Fuel Cells</x:v>
      </x:c>
      <x:c r="AE28" s="17" t="str"/>
      <x:c r="AF28" s="17" t="str"/>
      <x:c r="AG28" s="17" t="str"/>
      <x:c r="AH28" s="17" t="n">
        <x:v>46170</x:v>
      </x:c>
      <x:c r="AI28" s="17" t="n">
        <x:v>46170</x:v>
      </x:c>
      <x:c r="AJ28" s="23" t="str">
        <x:v>https://hixsondc.com/ | https://warrencountyecd.com/site/mcminnville-warren-digital-site/ | https://www.datacenterdynamics.com/en/news/25mw-ai-data-center-to-be-built-in-mcminnville-tennessee/</x:v>
      </x:c>
      <x:c r="AK28" s="23" t="str">
        <x:v>https://services.arcgis.com/jDGuO8tYggdCCnUJ/arcgis/rest/services/data_centers_v4_agol_all/FeatureServer/0</x:v>
      </x:c>
      <x:c r="AL28" s="23" t="str">
        <x:v>https://services.arcgis.com/jDGuO8tYggdCCnUJ/arcgis/rest/services/data_centers_v4_agol_all/FeatureServer/0</x:v>
      </x:c>
      <x:c r="AM28" s="23" t="str">
        <x:v>25MW batteries on site</x:v>
      </x:c>
      <x:c r="AN28" s="17" t="str">
        <x:v>core_data_center</x:v>
      </x:c>
      <x:c r="AO28" s="77" t="b">
        <x:v>1</x:v>
      </x:c>
      <x:c r="AP28" s="23" t="str"/>
      <x:c r="AQ28" s="17" t="str">
        <x:v>hixson data center</x:v>
      </x:c>
      <x:c r="AR28" s="18" t="str">
        <x:v>possibly bybee branch rd</x:v>
      </x:c>
    </x:row>
    <x:row r="29" ht="28" hidden="0" customHeight="1">
      <x:c r="A29" s="16" t="str">
        <x:v>fractracker</x:v>
      </x:c>
      <x:c r="B29" s="23" t="str">
        <x:v>499</x:v>
      </x:c>
      <x:c r="C29" s="23" t="str">
        <x:v>xAI Colossus 1</x:v>
      </x:c>
      <x:c r="D29" s="17" t="str"/>
      <x:c r="E29" s="23" t="str">
        <x:v>xAI</x:v>
      </x:c>
      <x:c r="F29" s="17" t="str"/>
      <x:c r="G29" s="23" t="str">
        <x:v>3231 Riverport Rd/ Paul Lowry Rd</x:v>
      </x:c>
      <x:c r="H29" s="17" t="str"/>
      <x:c r="I29" s="17" t="str">
        <x:v>Memphis</x:v>
      </x:c>
      <x:c r="J29" s="26" t="str">
        <x:v>Shelby</x:v>
      </x:c>
      <x:c r="K29" s="17" t="str">
        <x:v>TN</x:v>
      </x:c>
      <x:c r="L29" s="17" t="str">
        <x:v>38109</x:v>
      </x:c>
      <x:c r="M29" s="29" t="n">
        <x:v>35.05983</x:v>
      </x:c>
      <x:c r="N29" s="29" t="n">
        <x:v>-90.1562</x:v>
      </x:c>
      <x:c r="O29" s="17" t="str">
        <x:v>address_or_site</x:v>
      </x:c>
      <x:c r="P29" s="17" t="str">
        <x:v>High</x:v>
      </x:c>
      <x:c r="Q29" s="17" t="str">
        <x:v>Google Maps and other sources</x:v>
      </x:c>
      <x:c r="R29" s="17" t="str">
        <x:v>Operating</x:v>
      </x:c>
      <x:c r="S29" s="17" t="str">
        <x:v>operational</x:v>
      </x:c>
      <x:c r="T29" s="17" t="str">
        <x:v>data_center</x:v>
      </x:c>
      <x:c r="U29" s="17" t="str"/>
      <x:c r="V29" s="26" t="str">
        <x:v>498</x:v>
      </x:c>
      <x:c r="W29" s="26" t="str">
        <x:v>498</x:v>
      </x:c>
      <x:c r="X29" s="26" t="str">
        <x:v>498</x:v>
      </x:c>
      <x:c r="Y29" s="26" t="str"/>
      <x:c r="Z29" s="17" t="str"/>
      <x:c r="AA29" s="17" t="str"/>
      <x:c r="AB29" s="17" t="str"/>
      <x:c r="AC29" s="35" t="str"/>
      <x:c r="AD29" s="17" t="str"/>
      <x:c r="AE29" s="17" t="str"/>
      <x:c r="AF29" s="17" t="str"/>
      <x:c r="AG29" s="17" t="str"/>
      <x:c r="AH29" s="17" t="n">
        <x:v>45843</x:v>
      </x:c>
      <x:c r="AI29" s="17" t="n">
        <x:v>46027</x:v>
      </x:c>
      <x:c r="AJ29" s="23" t="str">
        <x:v>https://epoch.ai/data/data-centers/satellite-explorer/xAIColossus1MemphisTennessee?ref=404media.co | https://www.datacenterdynamics.com/en/news/xai-removes-some-of-controversial-gas-turbines-from-memphis-data-center/ | https://www.selc.org/news/xai-built-an-illegal-power-plant-to-power-its-data-center/</x:v>
      </x:c>
      <x:c r="AK29" s="23" t="str">
        <x:v>https://services.arcgis.com/jDGuO8tYggdCCnUJ/arcgis/rest/services/data_centers_v4_agol_all/FeatureServer/0</x:v>
      </x:c>
      <x:c r="AL29" s="23" t="str">
        <x:v>https://services.arcgis.com/jDGuO8tYggdCCnUJ/arcgis/rest/services/data_centers_v4_agol_all/FeatureServer/0</x:v>
      </x:c>
      <x:c r="AM29" s="23" t="str">
        <x:v>Powered by unpermitted gas turbines</x:v>
      </x:c>
      <x:c r="AN29" s="17" t="str">
        <x:v>core_data_center</x:v>
      </x:c>
      <x:c r="AO29" s="77" t="b">
        <x:v>1</x:v>
      </x:c>
      <x:c r="AP29" s="23" t="str">
        <x:v>xai</x:v>
      </x:c>
      <x:c r="AQ29" s="17" t="str">
        <x:v>xai colossus 1</x:v>
      </x:c>
      <x:c r="AR29" s="18" t="str">
        <x:v>3231 riverport rd paul lowry rd</x:v>
      </x:c>
    </x:row>
    <x:row r="30" ht="28" hidden="0" customHeight="1">
      <x:c r="A30" s="16" t="str">
        <x:v>fractracker</x:v>
      </x:c>
      <x:c r="B30" s="23" t="str">
        <x:v>500</x:v>
      </x:c>
      <x:c r="C30" s="23" t="str">
        <x:v>xAI Colossus 2</x:v>
      </x:c>
      <x:c r="D30" s="17" t="str"/>
      <x:c r="E30" s="23" t="str">
        <x:v>xAI</x:v>
      </x:c>
      <x:c r="F30" s="17" t="str"/>
      <x:c r="G30" s="23" t="str">
        <x:v>5420 Tulane Rd</x:v>
      </x:c>
      <x:c r="H30" s="17" t="str"/>
      <x:c r="I30" s="17" t="str">
        <x:v>Memphis</x:v>
      </x:c>
      <x:c r="J30" s="26" t="str">
        <x:v>Shelby</x:v>
      </x:c>
      <x:c r="K30" s="17" t="str">
        <x:v>TN</x:v>
      </x:c>
      <x:c r="L30" s="17" t="str">
        <x:v>38109</x:v>
      </x:c>
      <x:c r="M30" s="29" t="n">
        <x:v>34.998074</x:v>
      </x:c>
      <x:c r="N30" s="29" t="n">
        <x:v>-90.03507</x:v>
      </x:c>
      <x:c r="O30" s="17" t="str">
        <x:v>address_or_site</x:v>
      </x:c>
      <x:c r="P30" s="17" t="str">
        <x:v>High</x:v>
      </x:c>
      <x:c r="Q30" s="17" t="str">
        <x:v>Google Maps and other sources</x:v>
      </x:c>
      <x:c r="R30" s="17" t="str">
        <x:v>Expanding</x:v>
      </x:c>
      <x:c r="S30" s="17" t="str">
        <x:v>expanding</x:v>
      </x:c>
      <x:c r="T30" s="17" t="str">
        <x:v>data_center</x:v>
      </x:c>
      <x:c r="U30" s="17" t="str"/>
      <x:c r="V30" s="26" t="str">
        <x:v>1400</x:v>
      </x:c>
      <x:c r="W30" s="26" t="str">
        <x:v>276</x:v>
      </x:c>
      <x:c r="X30" s="26" t="str">
        <x:v>1400</x:v>
      </x:c>
      <x:c r="Y30" s="26" t="str">
        <x:v>1000000</x:v>
      </x:c>
      <x:c r="Z30" s="17" t="str"/>
      <x:c r="AA30" s="17" t="str"/>
      <x:c r="AB30" s="17" t="str"/>
      <x:c r="AC30" s="35" t="str"/>
      <x:c r="AD30" s="17" t="str"/>
      <x:c r="AE30" s="17" t="str"/>
      <x:c r="AF30" s="17" t="str"/>
      <x:c r="AG30" s="17" t="str"/>
      <x:c r="AH30" s="17" t="n">
        <x:v>45843</x:v>
      </x:c>
      <x:c r="AI30" s="17" t="n">
        <x:v>46234</x:v>
      </x:c>
      <x:c r="AJ30" s="23" t="str">
        <x:v>https://epoch.ai/data/data-centers/satellite-explorer/xAIColossus2MemphisTennessee?ref=404media.co | https://www.datacenterdynamics.com/en/news/elon-musks-xai-buys-one-million-sq-ft-site-for-second-memphis-data-center/ | https://www.datacenterdynamics.com/en/news/elon-musks-xai-to-spend-659m-on-new-building-for-memphis-data-center-cluster/ | https://www.datacenterdynamics.com/en/news/musk-confirms-fourth-spacexai-data-center-in-memphis-company-starts-removing-illegal-gas-turbines/ | https://www.selc.org/news/xai-built-an-illegal-power-plant-to-power-its-data-center/ | https://www.tomshardware.com/tech-industry/artificial-intelligence/elon-musk-xai-power-plant-overseas-to-power-1-million-gpus</x:v>
      </x:c>
      <x:c r="AK30" s="23" t="str">
        <x:v>https://services.arcgis.com/jDGuO8tYggdCCnUJ/arcgis/rest/services/data_centers_v4_agol_all/FeatureServer/0</x:v>
      </x:c>
      <x:c r="AL30" s="23" t="str">
        <x:v>https://services.arcgis.com/jDGuO8tYggdCCnUJ/arcgis/rest/services/data_centers_v4_agol_all/FeatureServer/0</x:v>
      </x:c>
      <x:c r="AM30" s="23" t="str">
        <x:v>Powered by unpermitted gas turbines</x:v>
      </x:c>
      <x:c r="AN30" s="17" t="str">
        <x:v>core_data_center</x:v>
      </x:c>
      <x:c r="AO30" s="77" t="b">
        <x:v>1</x:v>
      </x:c>
      <x:c r="AP30" s="23" t="str">
        <x:v>xai</x:v>
      </x:c>
      <x:c r="AQ30" s="17" t="str">
        <x:v>xai colossus 2</x:v>
      </x:c>
      <x:c r="AR30" s="18" t="str">
        <x:v>5420 tulane rd</x:v>
      </x:c>
    </x:row>
    <x:row r="31" ht="28" hidden="0" customHeight="1">
      <x:c r="A31" s="16" t="str">
        <x:v>fractracker</x:v>
      </x:c>
      <x:c r="B31" s="23" t="str">
        <x:v>1780860040054-4476</x:v>
      </x:c>
      <x:c r="C31" s="23" t="str">
        <x:v>DC Blox Data Center</x:v>
      </x:c>
      <x:c r="D31" s="17" t="str"/>
      <x:c r="E31" s="23" t="str"/>
      <x:c r="F31" s="17" t="str"/>
      <x:c r="G31" s="23" t="str">
        <x:v>648 Grassmere Park</x:v>
      </x:c>
      <x:c r="H31" s="17" t="str"/>
      <x:c r="I31" s="17" t="str">
        <x:v>Nashville</x:v>
      </x:c>
      <x:c r="J31" s="26" t="str">
        <x:v>Davidson</x:v>
      </x:c>
      <x:c r="K31" s="17" t="str">
        <x:v>TN</x:v>
      </x:c>
      <x:c r="L31" s="17" t="str">
        <x:v>37211</x:v>
      </x:c>
      <x:c r="M31" s="29" t="n">
        <x:v>36.090492</x:v>
      </x:c>
      <x:c r="N31" s="29" t="n">
        <x:v>-86.74721</x:v>
      </x:c>
      <x:c r="O31" s="17" t="str">
        <x:v>address_or_site</x:v>
      </x:c>
      <x:c r="P31" s="17" t="str">
        <x:v>High</x:v>
      </x:c>
      <x:c r="Q31" s="17" t="str">
        <x:v>Google Maps and other sources</x:v>
      </x:c>
      <x:c r="R31" s="17" t="str">
        <x:v>Proposed</x:v>
      </x:c>
      <x:c r="S31" s="17" t="str">
        <x:v>proposed</x:v>
      </x:c>
      <x:c r="T31" s="17" t="str">
        <x:v>data_center</x:v>
      </x:c>
      <x:c r="U31" s="17" t="str"/>
      <x:c r="V31" s="26" t="str"/>
      <x:c r="W31" s="26" t="str"/>
      <x:c r="X31" s="26" t="str"/>
      <x:c r="Y31" s="26" t="str">
        <x:v>69220</x:v>
      </x:c>
      <x:c r="Z31" s="17" t="str"/>
      <x:c r="AA31" s="17" t="str"/>
      <x:c r="AB31" s="17" t="str"/>
      <x:c r="AC31" s="35" t="str"/>
      <x:c r="AD31" s="17" t="str">
        <x:v>Grid (unspecified mix)</x:v>
      </x:c>
      <x:c r="AE31" s="17" t="str"/>
      <x:c r="AF31" s="17" t="str"/>
      <x:c r="AG31" s="17" t="str"/>
      <x:c r="AH31" s="17" t="n">
        <x:v>46180</x:v>
      </x:c>
      <x:c r="AI31" s="17" t="n">
        <x:v>46185</x:v>
      </x:c>
      <x:c r="AJ31" s="23" t="str">
        <x:v>https://www.datacenterdynamics.com/en/news/dc-bloxs-proposed-24-acre-data-center-near-nashville-zoo-could-be-blocked-by-moratorium/ | https://www.wkrn.com/news/local-news/nashville/160k-sign-petition-opposing-data-center-next-nashville-zoo/ | https://www.wsmv.com/2026/06/04/what-know-about-potential-data-center-next-nashville-zoo-facility-launches-petition-against-its-construction-feet-away-one-most-fragile-rare-collections-animals/</x:v>
      </x:c>
      <x:c r="AK31" s="23" t="str">
        <x:v>https://services.arcgis.com/jDGuO8tYggdCCnUJ/arcgis/rest/services/data_centers_v4_agol_all/FeatureServer/0</x:v>
      </x:c>
      <x:c r="AL31" s="23" t="str">
        <x:v>https://services.arcgis.com/jDGuO8tYggdCCnUJ/arcgis/rest/services/data_centers_v4_agol_all/FeatureServer/0</x:v>
      </x:c>
      <x:c r="AM31" s="23" t="str">
        <x:v>160,000 signatures</x:v>
      </x:c>
      <x:c r="AN31" s="17" t="str">
        <x:v>core_data_center</x:v>
      </x:c>
      <x:c r="AO31" s="77" t="b">
        <x:v>1</x:v>
      </x:c>
      <x:c r="AP31" s="23" t="str"/>
      <x:c r="AQ31" s="17" t="str">
        <x:v>dc blox data center</x:v>
      </x:c>
      <x:c r="AR31" s="18" t="str">
        <x:v>648 grassmere park</x:v>
      </x:c>
    </x:row>
    <x:row r="32" ht="28" hidden="0" customHeight="1">
      <x:c r="A32" s="16" t="str">
        <x:v>fractracker</x:v>
      </x:c>
      <x:c r="B32" s="23" t="str">
        <x:v>1772678598263-1520</x:v>
      </x:c>
      <x:c r="C32" s="23" t="str">
        <x:v>H5 Data Center</x:v>
      </x:c>
      <x:c r="D32" s="17" t="str"/>
      <x:c r="E32" s="23" t="str"/>
      <x:c r="F32" s="17" t="str"/>
      <x:c r="G32" s="23" t="str">
        <x:v>147 Fourth Ave</x:v>
      </x:c>
      <x:c r="H32" s="17" t="str"/>
      <x:c r="I32" s="17" t="str">
        <x:v>Nashville</x:v>
      </x:c>
      <x:c r="J32" s="26" t="str">
        <x:v>Davidson</x:v>
      </x:c>
      <x:c r="K32" s="17" t="str">
        <x:v>TN</x:v>
      </x:c>
      <x:c r="L32" s="17" t="str">
        <x:v>37219</x:v>
      </x:c>
      <x:c r="M32" s="29" t="n">
        <x:v>36.1628</x:v>
      </x:c>
      <x:c r="N32" s="29" t="n">
        <x:v>-86.77863</x:v>
      </x:c>
      <x:c r="O32" s="17" t="str">
        <x:v>address_or_site</x:v>
      </x:c>
      <x:c r="P32" s="17" t="str">
        <x:v>High</x:v>
      </x:c>
      <x:c r="Q32" s="17" t="str">
        <x:v>Google Maps only</x:v>
      </x:c>
      <x:c r="R32" s="17" t="str">
        <x:v>Proposed</x:v>
      </x:c>
      <x:c r="S32" s="17" t="str">
        <x:v>proposed</x:v>
      </x:c>
      <x:c r="T32" s="17" t="str">
        <x:v>data_center</x:v>
      </x:c>
      <x:c r="U32" s="17" t="str"/>
      <x:c r="V32" s="26" t="str"/>
      <x:c r="W32" s="26" t="str"/>
      <x:c r="X32" s="26" t="str"/>
      <x:c r="Y32" s="26" t="str">
        <x:v>19700</x:v>
      </x:c>
      <x:c r="Z32" s="17" t="str"/>
      <x:c r="AA32" s="17" t="str"/>
      <x:c r="AB32" s="17" t="str"/>
      <x:c r="AC32" s="35" t="str"/>
      <x:c r="AD32" s="17" t="str"/>
      <x:c r="AE32" s="17" t="str"/>
      <x:c r="AF32" s="17" t="str"/>
      <x:c r="AG32" s="17" t="str"/>
      <x:c r="AH32" s="17" t="n">
        <x:v>46085</x:v>
      </x:c>
      <x:c r="AI32" s="17" t="n">
        <x:v>46085</x:v>
      </x:c>
      <x:c r="AJ32" s="23" t="str">
        <x:v>https://www.datacenterdynamics.com/en/news/h5-and-novacap-launch-new-data-center-platform-acquire-three-carrier-hotels-from-365/</x:v>
      </x:c>
      <x:c r="AK32" s="23" t="str">
        <x:v>https://services.arcgis.com/jDGuO8tYggdCCnUJ/arcgis/rest/services/data_centers_v4_agol_all/FeatureServer/0</x:v>
      </x:c>
      <x:c r="AL32" s="23" t="str">
        <x:v>https://services.arcgis.com/jDGuO8tYggdCCnUJ/arcgis/rest/services/data_centers_v4_agol_all/FeatureServer/0</x:v>
      </x:c>
      <x:c r="AM32" s="23" t="str"/>
      <x:c r="AN32" s="17" t="str">
        <x:v>core_data_center</x:v>
      </x:c>
      <x:c r="AO32" s="77" t="b">
        <x:v>1</x:v>
      </x:c>
      <x:c r="AP32" s="23" t="str"/>
      <x:c r="AQ32" s="17" t="str">
        <x:v>h5 data center</x:v>
      </x:c>
      <x:c r="AR32" s="18" t="str">
        <x:v>147 fourth ave</x:v>
      </x:c>
    </x:row>
    <x:row r="33" ht="28" hidden="0" customHeight="1">
      <x:c r="A33" s="16" t="str">
        <x:v>fractracker</x:v>
      </x:c>
      <x:c r="B33" s="23" t="str">
        <x:v>1779304944409-7202</x:v>
      </x:c>
      <x:c r="C33" s="23" t="str">
        <x:v>Quantum Leap Data Center/ Fisk University</x:v>
      </x:c>
      <x:c r="D33" s="17" t="str"/>
      <x:c r="E33" s="23" t="str"/>
      <x:c r="F33" s="17" t="str"/>
      <x:c r="G33" s="23" t="str"/>
      <x:c r="H33" s="17" t="str"/>
      <x:c r="I33" s="17" t="str">
        <x:v>Nashville</x:v>
      </x:c>
      <x:c r="J33" s="26" t="str">
        <x:v>Davidson</x:v>
      </x:c>
      <x:c r="K33" s="17" t="str">
        <x:v>TN</x:v>
      </x:c>
      <x:c r="L33" s="17" t="str">
        <x:v>37208</x:v>
      </x:c>
      <x:c r="M33" s="29" t="n">
        <x:v>36.168316</x:v>
      </x:c>
      <x:c r="N33" s="29" t="n">
        <x:v>-86.805565</x:v>
      </x:c>
      <x:c r="O33" s="17" t="str">
        <x:v>approximate_site</x:v>
      </x:c>
      <x:c r="P33" s="17" t="str">
        <x:v>Medium</x:v>
      </x:c>
      <x:c r="Q33" s="17" t="str">
        <x:v>Google Maps and other sources</x:v>
      </x:c>
      <x:c r="R33" s="17" t="str">
        <x:v>Proposed</x:v>
      </x:c>
      <x:c r="S33" s="17" t="str">
        <x:v>proposed</x:v>
      </x:c>
      <x:c r="T33" s="17" t="str">
        <x:v>data_center</x:v>
      </x:c>
      <x:c r="U33" s="17" t="str"/>
      <x:c r="V33" s="26" t="str">
        <x:v>30</x:v>
      </x:c>
      <x:c r="W33" s="26" t="str">
        <x:v>30</x:v>
      </x:c>
      <x:c r="X33" s="26" t="str">
        <x:v>30</x:v>
      </x:c>
      <x:c r="Y33" s="26" t="str">
        <x:v>70000</x:v>
      </x:c>
      <x:c r="Z33" s="17" t="str"/>
      <x:c r="AA33" s="17" t="str"/>
      <x:c r="AB33" s="17" t="str"/>
      <x:c r="AC33" s="35" t="str">
        <x:v>$400 million</x:v>
      </x:c>
      <x:c r="AD33" s="17" t="str">
        <x:v>Grid (unspecified mix)</x:v>
      </x:c>
      <x:c r="AE33" s="17" t="str"/>
      <x:c r="AF33" s="17" t="str"/>
      <x:c r="AG33" s="17" t="str"/>
      <x:c r="AH33" s="17" t="n">
        <x:v>46162</x:v>
      </x:c>
      <x:c r="AI33" s="17" t="n">
        <x:v>46162</x:v>
      </x:c>
      <x:c r="AJ33" s="23" t="str">
        <x:v>https://www.datacenterdynamics.com/en/news/fisk-university-looks-to-build-data-center-in-nashville-tennessee/</x:v>
      </x:c>
      <x:c r="AK33" s="23" t="str">
        <x:v>https://services.arcgis.com/jDGuO8tYggdCCnUJ/arcgis/rest/services/data_centers_v4_agol_all/FeatureServer/0</x:v>
      </x:c>
      <x:c r="AL33" s="23" t="str">
        <x:v>https://services.arcgis.com/jDGuO8tYggdCCnUJ/arcgis/rest/services/data_centers_v4_agol_all/FeatureServer/0</x:v>
      </x:c>
      <x:c r="AM33" s="23" t="str"/>
      <x:c r="AN33" s="17" t="str">
        <x:v>core_data_center</x:v>
      </x:c>
      <x:c r="AO33" s="77" t="b">
        <x:v>1</x:v>
      </x:c>
      <x:c r="AP33" s="23" t="str"/>
      <x:c r="AQ33" s="17" t="str">
        <x:v>quantum leap data center fisk university</x:v>
      </x:c>
      <x:c r="AR33" s="18" t="str"/>
    </x:row>
    <x:row r="34" ht="28" hidden="0" customHeight="1">
      <x:c r="A34" s="16" t="str">
        <x:v>compute_atlas</x:v>
      </x:c>
      <x:c r="B34" s="23" t="str">
        <x:v>aphorio-carter-collierville-tn</x:v>
      </x:c>
      <x:c r="C34" s="23" t="str">
        <x:v>Collierville Enterprise Data Center (FedEx World Technology Center Campus)</x:v>
      </x:c>
      <x:c r="D34" s="17" t="str"/>
      <x:c r="E34" s="23" t="str">
        <x:v>Aphorio Carter</x:v>
      </x:c>
      <x:c r="F34" s="17" t="str"/>
      <x:c r="G34" s="23" t="str"/>
      <x:c r="H34" s="17" t="str"/>
      <x:c r="I34" s="17" t="str">
        <x:v>Collierville</x:v>
      </x:c>
      <x:c r="J34" s="26" t="str">
        <x:v>Shelby</x:v>
      </x:c>
      <x:c r="K34" s="17" t="str">
        <x:v>TN</x:v>
      </x:c>
      <x:c r="L34" s="17" t="str"/>
      <x:c r="M34" s="29" t="n">
        <x:v>35.04204</x:v>
      </x:c>
      <x:c r="N34" s="29" t="n">
        <x:v>-89.66453</x:v>
      </x:c>
      <x:c r="O34" s="17" t="str">
        <x:v>approximate</x:v>
      </x:c>
      <x:c r="P34" s="17" t="str">
        <x:v>confirmed</x:v>
      </x:c>
      <x:c r="Q34" s="17" t="str"/>
      <x:c r="R34" s="17" t="str">
        <x:v>operational</x:v>
      </x:c>
      <x:c r="S34" s="17" t="str">
        <x:v>operational</x:v>
      </x:c>
      <x:c r="T34" s="17" t="str">
        <x:v>data_center</x:v>
      </x:c>
      <x:c r="U34" s="17" t="str"/>
      <x:c r="V34" s="26" t="str"/>
      <x:c r="W34" s="26" t="str"/>
      <x:c r="X34" s="26" t="str"/>
      <x:c r="Y34" s="26" t="str"/>
      <x:c r="Z34" s="17" t="str">
        <x:v>4.62</x:v>
      </x:c>
      <x:c r="AA34" s="17" t="str"/>
      <x:c r="AB34" s="17" t="str"/>
      <x:c r="AC34" s="35" t="str">
        <x:v>13000000</x:v>
      </x:c>
      <x:c r="AD34" s="17" t="str"/>
      <x:c r="AE34" s="17" t="str"/>
      <x:c r="AF34" s="17" t="str"/>
      <x:c r="AG34" s="17" t="str"/>
      <x:c r="AH34" s="17" t="str"/>
      <x:c r="AI34" s="17" t="str">
        <x:v>2026-08-15</x:v>
      </x:c>
      <x:c r="AJ34" s="23" t="str">
        <x:v>https://baxtel.com/data-center/memphis | https://www.prnewswire.com/news-releases/aphorio-carter-acquires-data-center-in-collierville-tn-301983903.html</x:v>
      </x:c>
      <x:c r="AK34" s="23" t="str">
        <x:v>https://www.compute-atlas.com/api/facilities?state=TN</x:v>
      </x:c>
      <x:c r="AL34" s="23" t="str">
        <x:v>https://www.compute-atlas.com/api/facilities?state=TN</x:v>
      </x:c>
      <x:c r="AM34" s="23" t="str">
        <x:v>[]</x:v>
      </x:c>
      <x:c r="AN34" s="17" t="str">
        <x:v>core_data_center</x:v>
      </x:c>
      <x:c r="AO34" s="77" t="b">
        <x:v>1</x:v>
      </x:c>
      <x:c r="AP34" s="23" t="str">
        <x:v>aphorio carter</x:v>
      </x:c>
      <x:c r="AQ34" s="17" t="str">
        <x:v>collierville enterprise data center fedex world technology center campus</x:v>
      </x:c>
      <x:c r="AR34" s="18" t="str"/>
    </x:row>
    <x:row r="35" ht="28" hidden="0" customHeight="1">
      <x:c r="A35" s="16" t="str">
        <x:v>compute_atlas</x:v>
      </x:c>
      <x:c r="B35" s="23" t="str">
        <x:v>bitdeer-knoxville-tn</x:v>
      </x:c>
      <x:c r="C35" s="23" t="str">
        <x:v>Bitdeer Knoxville AI Datacenter (5101 S. National Drive)</x:v>
      </x:c>
      <x:c r="D35" s="17" t="str"/>
      <x:c r="E35" s="23" t="str">
        <x:v>Bitdeer</x:v>
      </x:c>
      <x:c r="F35" s="17" t="str"/>
      <x:c r="G35" s="23" t="str"/>
      <x:c r="H35" s="17" t="str"/>
      <x:c r="I35" s="17" t="str">
        <x:v>Knoxville</x:v>
      </x:c>
      <x:c r="J35" s="26" t="str">
        <x:v>Knox</x:v>
      </x:c>
      <x:c r="K35" s="17" t="str">
        <x:v>TN</x:v>
      </x:c>
      <x:c r="L35" s="17" t="str"/>
      <x:c r="M35" s="29" t="n">
        <x:v>35.941272</x:v>
      </x:c>
      <x:c r="N35" s="29" t="n">
        <x:v>-83.836066</x:v>
      </x:c>
      <x:c r="O35" s="17" t="str">
        <x:v>approximate</x:v>
      </x:c>
      <x:c r="P35" s="17" t="str">
        <x:v>reported</x:v>
      </x:c>
      <x:c r="Q35" s="17" t="str"/>
      <x:c r="R35" s="17" t="str">
        <x:v>under_construction</x:v>
      </x:c>
      <x:c r="S35" s="17" t="str">
        <x:v>under_construction</x:v>
      </x:c>
      <x:c r="T35" s="17" t="str">
        <x:v>data_center</x:v>
      </x:c>
      <x:c r="U35" s="17" t="str"/>
      <x:c r="V35" s="26" t="str"/>
      <x:c r="W35" s="26" t="str"/>
      <x:c r="X35" s="26" t="str"/>
      <x:c r="Y35" s="26" t="str"/>
      <x:c r="Z35" s="17" t="str">
        <x:v>9.88</x:v>
      </x:c>
      <x:c r="AA35" s="17" t="str"/>
      <x:c r="AB35" s="17" t="str"/>
      <x:c r="AC35" s="35" t="str"/>
      <x:c r="AD35" s="17" t="str"/>
      <x:c r="AE35" s="17" t="str"/>
      <x:c r="AF35" s="17" t="str"/>
      <x:c r="AG35" s="17" t="str"/>
      <x:c r="AH35" s="17" t="str"/>
      <x:c r="AI35" s="17" t="str">
        <x:v>2026-07-23</x:v>
      </x:c>
      <x:c r="AJ35" s="23" t="str">
        <x:v>https://www.arcgis.com/home/item.html?id=597555ce8e4a4892a030784a7c657fdd | https://www.sec.gov/Archives/edgar/data/1899123/000121390026049770/ea0282628-20f_bitdeer.htm</x:v>
      </x:c>
      <x:c r="AK35" s="23" t="str">
        <x:v>https://www.compute-atlas.com/api/facilities?state=TN</x:v>
      </x:c>
      <x:c r="AL35" s="23" t="str">
        <x:v>https://www.compute-atlas.com/api/facilities?state=TN</x:v>
      </x:c>
      <x:c r="AM35" s="23" t="str">
        <x:v>[{"date": "2026-04-30", "note": "under construction per Bitdeer Technologies Group FY2025 Form 20-F, filed 2026-04-30", "status": "under_construction", "sourceIndex": 0}]</x:v>
      </x:c>
      <x:c r="AN35" s="17" t="str">
        <x:v>core_data_center</x:v>
      </x:c>
      <x:c r="AO35" s="77" t="b">
        <x:v>1</x:v>
      </x:c>
      <x:c r="AP35" s="23" t="str">
        <x:v>bitdeer</x:v>
      </x:c>
      <x:c r="AQ35" s="17" t="str">
        <x:v>bitdeer knoxville ai datacenter 5101 s national drive</x:v>
      </x:c>
      <x:c r="AR35" s="18" t="str"/>
    </x:row>
    <x:row r="36" ht="28" hidden="0" customHeight="1">
      <x:c r="A36" s="16" t="str">
        <x:v>compute_atlas</x:v>
      </x:c>
      <x:c r="B36" s="23" t="str">
        <x:v>centersquare-gallatin-tn</x:v>
      </x:c>
      <x:c r="C36" s="23" t="str">
        <x:v>Centersquare Gallatin (NAS) Campus</x:v>
      </x:c>
      <x:c r="D36" s="17" t="str"/>
      <x:c r="E36" s="23" t="str">
        <x:v>Centersquare</x:v>
      </x:c>
      <x:c r="F36" s="17" t="str"/>
      <x:c r="G36" s="23" t="str"/>
      <x:c r="H36" s="17" t="str"/>
      <x:c r="I36" s="17" t="str">
        <x:v>Gallatin</x:v>
      </x:c>
      <x:c r="J36" s="26" t="str">
        <x:v>Sumner</x:v>
      </x:c>
      <x:c r="K36" s="17" t="str">
        <x:v>TN</x:v>
      </x:c>
      <x:c r="L36" s="17" t="str"/>
      <x:c r="M36" s="29" t="n">
        <x:v>36.40406</x:v>
      </x:c>
      <x:c r="N36" s="29" t="n">
        <x:v>-86.39812</x:v>
      </x:c>
      <x:c r="O36" s="17" t="str">
        <x:v>exact</x:v>
      </x:c>
      <x:c r="P36" s="17" t="str">
        <x:v>confirmed</x:v>
      </x:c>
      <x:c r="Q36" s="17" t="str"/>
      <x:c r="R36" s="17" t="str">
        <x:v>operational</x:v>
      </x:c>
      <x:c r="S36" s="17" t="str">
        <x:v>operational</x:v>
      </x:c>
      <x:c r="T36" s="17" t="str">
        <x:v>data_center</x:v>
      </x:c>
      <x:c r="U36" s="17" t="str"/>
      <x:c r="V36" s="26" t="str"/>
      <x:c r="W36" s="26" t="str"/>
      <x:c r="X36" s="26" t="str"/>
      <x:c r="Y36" s="26" t="str"/>
      <x:c r="Z36" s="17" t="str">
        <x:v>28.5</x:v>
      </x:c>
      <x:c r="AA36" s="17" t="str"/>
      <x:c r="AB36" s="17" t="str"/>
      <x:c r="AC36" s="35" t="str">
        <x:v>200000000</x:v>
      </x:c>
      <x:c r="AD36" s="17" t="str"/>
      <x:c r="AE36" s="17" t="str"/>
      <x:c r="AF36" s="17" t="str"/>
      <x:c r="AG36" s="17" t="str"/>
      <x:c r="AH36" s="17" t="str"/>
      <x:c r="AI36" s="17" t="str">
        <x:v>2026-08-15</x:v>
      </x:c>
      <x:c r="AJ36" s="23" t="str">
        <x:v>https://baxtel.com/data-center/centersquare-gallatin-nas | https://www.datacenterfrontier.com/cloud/article/11427377/evoque-to-partner-with-archer-datacenters-on-200m-nashville-campus | https://www.newschannel5.com/news/how-big-are-middle-tennessees-data-centers-a-look-at-facilities-already-operating</x:v>
      </x:c>
      <x:c r="AK36" s="23" t="str">
        <x:v>https://www.compute-atlas.com/api/facilities?state=TN</x:v>
      </x:c>
      <x:c r="AL36" s="23" t="str">
        <x:v>https://www.compute-atlas.com/api/facilities?state=TN</x:v>
      </x:c>
      <x:c r="AM36" s="23" t="str">
        <x:v>[]</x:v>
      </x:c>
      <x:c r="AN36" s="17" t="str">
        <x:v>core_data_center</x:v>
      </x:c>
      <x:c r="AO36" s="77" t="b">
        <x:v>1</x:v>
      </x:c>
      <x:c r="AP36" s="23" t="str">
        <x:v>centersquare</x:v>
      </x:c>
      <x:c r="AQ36" s="17" t="str">
        <x:v>centersquare gallatin nas campus</x:v>
      </x:c>
      <x:c r="AR36" s="18" t="str"/>
    </x:row>
    <x:row r="37" ht="28" hidden="0" customHeight="1">
      <x:c r="A37" s="16" t="str">
        <x:v>compute_atlas</x:v>
      </x:c>
      <x:c r="B37" s="23" t="str">
        <x:v>cielo-clarksville-tn</x:v>
      </x:c>
      <x:c r="C37" s="23" t="str">
        <x:v>Cielo Montgomery County AI Campus</x:v>
      </x:c>
      <x:c r="D37" s="17" t="str"/>
      <x:c r="E37" s="23" t="str">
        <x:v>Cielo Digital Infrastructure</x:v>
      </x:c>
      <x:c r="F37" s="17" t="str"/>
      <x:c r="G37" s="23" t="str"/>
      <x:c r="H37" s="17" t="str"/>
      <x:c r="I37" s="17" t="str">
        <x:v>Clarksville</x:v>
      </x:c>
      <x:c r="J37" s="26" t="str">
        <x:v>Montgomery</x:v>
      </x:c>
      <x:c r="K37" s="17" t="str">
        <x:v>TN</x:v>
      </x:c>
      <x:c r="L37" s="17" t="str"/>
      <x:c r="M37" s="29" t="n">
        <x:v>36.53</x:v>
      </x:c>
      <x:c r="N37" s="29" t="n">
        <x:v>-87.36</x:v>
      </x:c>
      <x:c r="O37" s="17" t="str">
        <x:v>exact</x:v>
      </x:c>
      <x:c r="P37" s="17" t="str">
        <x:v>reported</x:v>
      </x:c>
      <x:c r="Q37" s="17" t="str"/>
      <x:c r="R37" s="17" t="str">
        <x:v>proposed</x:v>
      </x:c>
      <x:c r="S37" s="17" t="str">
        <x:v>proposed</x:v>
      </x:c>
      <x:c r="T37" s="17" t="str">
        <x:v>data_center</x:v>
      </x:c>
      <x:c r="U37" s="17" t="str"/>
      <x:c r="V37" s="26" t="str"/>
      <x:c r="W37" s="26" t="str"/>
      <x:c r="X37" s="26" t="str"/>
      <x:c r="Y37" s="26" t="str"/>
      <x:c r="Z37" s="17" t="str">
        <x:v>107</x:v>
      </x:c>
      <x:c r="AA37" s="17" t="str"/>
      <x:c r="AB37" s="17" t="str"/>
      <x:c r="AC37" s="35" t="str"/>
      <x:c r="AD37" s="17" t="str"/>
      <x:c r="AE37" s="17" t="str"/>
      <x:c r="AF37" s="17" t="str"/>
      <x:c r="AG37" s="17" t="str"/>
      <x:c r="AH37" s="17" t="str"/>
      <x:c r="AI37" s="17" t="str">
        <x:v>2026-07-26</x:v>
      </x:c>
      <x:c r="AJ37" s="23" t="str">
        <x:v>https://cieloinfra.com/ | https://cleanview.co/data-centers/tennessee/2037/cielo-clarksville-data-center | https://www.arcgis.com/home/item.html?id=597555ce8e4a4892a030784a7c657fdd</x:v>
      </x:c>
      <x:c r="AK37" s="23" t="str">
        <x:v>https://www.compute-atlas.com/api/facilities?state=TN</x:v>
      </x:c>
      <x:c r="AL37" s="23" t="str">
        <x:v>https://www.compute-atlas.com/api/facilities?state=TN</x:v>
      </x:c>
      <x:c r="AM37" s="23" t="str">
        <x:v>[{"date": "2026", "note": "Cielo Digital Infrastructure proposed a ~350 MW AI campus on ~107 acres in Montgomery County (Clarksville)", "status": "proposed", "sourceIndex": 0}]</x:v>
      </x:c>
      <x:c r="AN37" s="17" t="str">
        <x:v>core_data_center</x:v>
      </x:c>
      <x:c r="AO37" s="77" t="b">
        <x:v>1</x:v>
      </x:c>
      <x:c r="AP37" s="23" t="str">
        <x:v>cielo digital infrastructure</x:v>
      </x:c>
      <x:c r="AQ37" s="17" t="str">
        <x:v>cielo montgomery county ai campus</x:v>
      </x:c>
      <x:c r="AR37" s="18" t="str"/>
    </x:row>
    <x:row r="38" ht="28" hidden="0" customHeight="1">
      <x:c r="A38" s="16" t="str">
        <x:v>compute_atlas</x:v>
      </x:c>
      <x:c r="B38" s="23" t="str">
        <x:v>cleanspark-campbell-junction-tn</x:v>
      </x:c>
      <x:c r="C38" s="23" t="str">
        <x:v>CleanSpark Campbell Junction Bitcoin Mining Facility</x:v>
      </x:c>
      <x:c r="D38" s="17" t="str"/>
      <x:c r="E38" s="23" t="str">
        <x:v>CleanSpark, Inc.</x:v>
      </x:c>
      <x:c r="F38" s="17" t="str"/>
      <x:c r="G38" s="23" t="str"/>
      <x:c r="H38" s="17" t="str"/>
      <x:c r="I38" s="17" t="str">
        <x:v>Campbell Junction</x:v>
      </x:c>
      <x:c r="J38" s="26" t="str">
        <x:v>Cumberland</x:v>
      </x:c>
      <x:c r="K38" s="17" t="str">
        <x:v>TN</x:v>
      </x:c>
      <x:c r="L38" s="17" t="str"/>
      <x:c r="M38" s="29" t="n">
        <x:v>36.0436</x:v>
      </x:c>
      <x:c r="N38" s="29" t="n">
        <x:v>-85.1692</x:v>
      </x:c>
      <x:c r="O38" s="17" t="str">
        <x:v>approximate</x:v>
      </x:c>
      <x:c r="P38" s="17" t="str">
        <x:v>confirmed</x:v>
      </x:c>
      <x:c r="Q38" s="17" t="str"/>
      <x:c r="R38" s="17" t="str">
        <x:v>operational</x:v>
      </x:c>
      <x:c r="S38" s="17" t="str">
        <x:v>operational</x:v>
      </x:c>
      <x:c r="T38" s="17" t="str">
        <x:v>crypto_mining</x:v>
      </x:c>
      <x:c r="U38" s="17" t="str"/>
      <x:c r="V38" s="26" t="str"/>
      <x:c r="W38" s="26" t="str"/>
      <x:c r="X38" s="26" t="str"/>
      <x:c r="Y38" s="26" t="str"/>
      <x:c r="Z38" s="17" t="str"/>
      <x:c r="AA38" s="17" t="str"/>
      <x:c r="AB38" s="17" t="str"/>
      <x:c r="AC38" s="35" t="str"/>
      <x:c r="AD38" s="17" t="str"/>
      <x:c r="AE38" s="17" t="str"/>
      <x:c r="AF38" s="17" t="str"/>
      <x:c r="AG38" s="17" t="str"/>
      <x:c r="AH38" s="17" t="str"/>
      <x:c r="AI38" s="17" t="str">
        <x:v>2026-08-05</x:v>
      </x:c>
      <x:c r="AJ38" s="23" t="str">
        <x:v>https://www.prnewswire.com/news-releases/cleanspark-to-add-5-ehs-and-increase-2024-guidance-with-acquisition-of-seven-additional-bitcoin-mining-facilities-in-tennessee-302244673.html | https://www.sec.gov/Archives/edgar/data/827876/000119312525297510/clsk-20250930.htm</x:v>
      </x:c>
      <x:c r="AK38" s="23" t="str">
        <x:v>https://www.compute-atlas.com/api/facilities?state=TN</x:v>
      </x:c>
      <x:c r="AL38" s="23" t="str">
        <x:v>https://www.compute-atlas.com/api/facilities?state=TN</x:v>
      </x:c>
      <x:c r="AM38" s="23" t="str">
        <x:v>[]</x:v>
      </x:c>
      <x:c r="AN38" s="17" t="str">
        <x:v>crypto_mining</x:v>
      </x:c>
      <x:c r="AO38" s="77" t="b">
        <x:v>1</x:v>
      </x:c>
      <x:c r="AP38" s="23" t="str">
        <x:v>cleanspark</x:v>
      </x:c>
      <x:c r="AQ38" s="17" t="str">
        <x:v>cleanspark campbell junction bitcoin mining facility</x:v>
      </x:c>
      <x:c r="AR38" s="18" t="str"/>
    </x:row>
    <x:row r="39" ht="28" hidden="0" customHeight="1">
      <x:c r="A39" s="16" t="str">
        <x:v>compute_atlas</x:v>
      </x:c>
      <x:c r="B39" s="23" t="str">
        <x:v>cleanspark-decatur-tn</x:v>
      </x:c>
      <x:c r="C39" s="23" t="str">
        <x:v>CleanSpark Decatur Bitcoin Mining Facility</x:v>
      </x:c>
      <x:c r="D39" s="17" t="str"/>
      <x:c r="E39" s="23" t="str">
        <x:v>CleanSpark, Inc.</x:v>
      </x:c>
      <x:c r="F39" s="17" t="str"/>
      <x:c r="G39" s="23" t="str"/>
      <x:c r="H39" s="17" t="str"/>
      <x:c r="I39" s="17" t="str">
        <x:v>Decatur</x:v>
      </x:c>
      <x:c r="J39" s="26" t="str">
        <x:v>Meigs</x:v>
      </x:c>
      <x:c r="K39" s="17" t="str">
        <x:v>TN</x:v>
      </x:c>
      <x:c r="L39" s="17" t="str"/>
      <x:c r="M39" s="29" t="n">
        <x:v>35.5148</x:v>
      </x:c>
      <x:c r="N39" s="29" t="n">
        <x:v>-84.7902</x:v>
      </x:c>
      <x:c r="O39" s="17" t="str">
        <x:v>approximate</x:v>
      </x:c>
      <x:c r="P39" s="17" t="str">
        <x:v>confirmed</x:v>
      </x:c>
      <x:c r="Q39" s="17" t="str"/>
      <x:c r="R39" s="17" t="str">
        <x:v>operational</x:v>
      </x:c>
      <x:c r="S39" s="17" t="str">
        <x:v>operational</x:v>
      </x:c>
      <x:c r="T39" s="17" t="str">
        <x:v>crypto_mining</x:v>
      </x:c>
      <x:c r="U39" s="17" t="str"/>
      <x:c r="V39" s="26" t="str"/>
      <x:c r="W39" s="26" t="str"/>
      <x:c r="X39" s="26" t="str"/>
      <x:c r="Y39" s="26" t="str"/>
      <x:c r="Z39" s="17" t="str"/>
      <x:c r="AA39" s="17" t="str"/>
      <x:c r="AB39" s="17" t="str"/>
      <x:c r="AC39" s="35" t="str"/>
      <x:c r="AD39" s="17" t="str"/>
      <x:c r="AE39" s="17" t="str"/>
      <x:c r="AF39" s="17" t="str"/>
      <x:c r="AG39" s="17" t="str"/>
      <x:c r="AH39" s="17" t="str"/>
      <x:c r="AI39" s="17" t="str">
        <x:v>2026-08-05</x:v>
      </x:c>
      <x:c r="AJ39" s="23" t="str">
        <x:v>https://www.prnewswire.com/news-releases/cleanspark-to-add-5-ehs-and-increase-2024-guidance-with-acquisition-of-seven-additional-bitcoin-mining-facilities-in-tennessee-302244673.html | https://www.sec.gov/Archives/edgar/data/827876/000119312525297510/clsk-20250930.htm</x:v>
      </x:c>
      <x:c r="AK39" s="23" t="str">
        <x:v>https://www.compute-atlas.com/api/facilities?state=TN</x:v>
      </x:c>
      <x:c r="AL39" s="23" t="str">
        <x:v>https://www.compute-atlas.com/api/facilities?state=TN</x:v>
      </x:c>
      <x:c r="AM39" s="23" t="str">
        <x:v>[]</x:v>
      </x:c>
      <x:c r="AN39" s="17" t="str">
        <x:v>crypto_mining</x:v>
      </x:c>
      <x:c r="AO39" s="77" t="b">
        <x:v>1</x:v>
      </x:c>
      <x:c r="AP39" s="23" t="str">
        <x:v>cleanspark</x:v>
      </x:c>
      <x:c r="AQ39" s="17" t="str">
        <x:v>cleanspark decatur bitcoin mining facility</x:v>
      </x:c>
      <x:c r="AR39" s="18" t="str"/>
    </x:row>
    <x:row r="40" ht="28" hidden="0" customHeight="1">
      <x:c r="A40" s="16" t="str">
        <x:v>compute_atlas</x:v>
      </x:c>
      <x:c r="B40" s="23" t="str">
        <x:v>cleanspark-jellico-tn</x:v>
      </x:c>
      <x:c r="C40" s="23" t="str">
        <x:v>CleanSpark Jellico Bitcoin Mining Facility</x:v>
      </x:c>
      <x:c r="D40" s="17" t="str"/>
      <x:c r="E40" s="23" t="str">
        <x:v>CleanSpark, Inc.</x:v>
      </x:c>
      <x:c r="F40" s="17" t="str"/>
      <x:c r="G40" s="23" t="str"/>
      <x:c r="H40" s="17" t="str"/>
      <x:c r="I40" s="17" t="str">
        <x:v>Jellico</x:v>
      </x:c>
      <x:c r="J40" s="26" t="str">
        <x:v>Campbell</x:v>
      </x:c>
      <x:c r="K40" s="17" t="str">
        <x:v>TN</x:v>
      </x:c>
      <x:c r="L40" s="17" t="str"/>
      <x:c r="M40" s="29" t="n">
        <x:v>36.5825</x:v>
      </x:c>
      <x:c r="N40" s="29" t="n">
        <x:v>-84.1306</x:v>
      </x:c>
      <x:c r="O40" s="17" t="str">
        <x:v>approximate</x:v>
      </x:c>
      <x:c r="P40" s="17" t="str">
        <x:v>confirmed</x:v>
      </x:c>
      <x:c r="Q40" s="17" t="str"/>
      <x:c r="R40" s="17" t="str">
        <x:v>operational</x:v>
      </x:c>
      <x:c r="S40" s="17" t="str">
        <x:v>operational</x:v>
      </x:c>
      <x:c r="T40" s="17" t="str">
        <x:v>crypto_mining</x:v>
      </x:c>
      <x:c r="U40" s="17" t="str"/>
      <x:c r="V40" s="26" t="str"/>
      <x:c r="W40" s="26" t="str"/>
      <x:c r="X40" s="26" t="str"/>
      <x:c r="Y40" s="26" t="str"/>
      <x:c r="Z40" s="17" t="str"/>
      <x:c r="AA40" s="17" t="str"/>
      <x:c r="AB40" s="17" t="str"/>
      <x:c r="AC40" s="35" t="str"/>
      <x:c r="AD40" s="17" t="str"/>
      <x:c r="AE40" s="17" t="str"/>
      <x:c r="AF40" s="17" t="str"/>
      <x:c r="AG40" s="17" t="str"/>
      <x:c r="AH40" s="17" t="str"/>
      <x:c r="AI40" s="17" t="str">
        <x:v>2026-08-05</x:v>
      </x:c>
      <x:c r="AJ40" s="23" t="str">
        <x:v>https://www.prnewswire.com/news-releases/cleanspark-to-add-5-ehs-and-increase-2024-guidance-with-acquisition-of-seven-additional-bitcoin-mining-facilities-in-tennessee-302244673.html | https://www.sec.gov/Archives/edgar/data/827876/000119312525297510/clsk-20250930.htm</x:v>
      </x:c>
      <x:c r="AK40" s="23" t="str">
        <x:v>https://www.compute-atlas.com/api/facilities?state=TN</x:v>
      </x:c>
      <x:c r="AL40" s="23" t="str">
        <x:v>https://www.compute-atlas.com/api/facilities?state=TN</x:v>
      </x:c>
      <x:c r="AM40" s="23" t="str">
        <x:v>[]</x:v>
      </x:c>
      <x:c r="AN40" s="17" t="str">
        <x:v>crypto_mining</x:v>
      </x:c>
      <x:c r="AO40" s="77" t="b">
        <x:v>1</x:v>
      </x:c>
      <x:c r="AP40" s="23" t="str">
        <x:v>cleanspark</x:v>
      </x:c>
      <x:c r="AQ40" s="17" t="str">
        <x:v>cleanspark jellico bitcoin mining facility</x:v>
      </x:c>
      <x:c r="AR40" s="18" t="str"/>
    </x:row>
    <x:row r="41" ht="28" hidden="0" customHeight="1">
      <x:c r="A41" s="16" t="str">
        <x:v>compute_atlas</x:v>
      </x:c>
      <x:c r="B41" s="23" t="str">
        <x:v>cleanspark-lenoir-city-tn</x:v>
      </x:c>
      <x:c r="C41" s="23" t="str">
        <x:v>CleanSpark Lenoir City Bitcoin Mining Facility</x:v>
      </x:c>
      <x:c r="D41" s="17" t="str"/>
      <x:c r="E41" s="23" t="str">
        <x:v>CleanSpark, Inc.</x:v>
      </x:c>
      <x:c r="F41" s="17" t="str"/>
      <x:c r="G41" s="23" t="str"/>
      <x:c r="H41" s="17" t="str"/>
      <x:c r="I41" s="17" t="str">
        <x:v>Lenoir City</x:v>
      </x:c>
      <x:c r="J41" s="26" t="str">
        <x:v>Loudon</x:v>
      </x:c>
      <x:c r="K41" s="17" t="str">
        <x:v>TN</x:v>
      </x:c>
      <x:c r="L41" s="17" t="str"/>
      <x:c r="M41" s="29" t="n">
        <x:v>35.7973</x:v>
      </x:c>
      <x:c r="N41" s="29" t="n">
        <x:v>-84.256</x:v>
      </x:c>
      <x:c r="O41" s="17" t="str">
        <x:v>approximate</x:v>
      </x:c>
      <x:c r="P41" s="17" t="str">
        <x:v>confirmed</x:v>
      </x:c>
      <x:c r="Q41" s="17" t="str"/>
      <x:c r="R41" s="17" t="str">
        <x:v>operational</x:v>
      </x:c>
      <x:c r="S41" s="17" t="str">
        <x:v>operational</x:v>
      </x:c>
      <x:c r="T41" s="17" t="str">
        <x:v>crypto_mining</x:v>
      </x:c>
      <x:c r="U41" s="17" t="str"/>
      <x:c r="V41" s="26" t="str"/>
      <x:c r="W41" s="26" t="str"/>
      <x:c r="X41" s="26" t="str"/>
      <x:c r="Y41" s="26" t="str"/>
      <x:c r="Z41" s="17" t="str"/>
      <x:c r="AA41" s="17" t="str"/>
      <x:c r="AB41" s="17" t="str"/>
      <x:c r="AC41" s="35" t="str"/>
      <x:c r="AD41" s="17" t="str"/>
      <x:c r="AE41" s="17" t="str"/>
      <x:c r="AF41" s="17" t="str"/>
      <x:c r="AG41" s="17" t="str"/>
      <x:c r="AH41" s="17" t="str"/>
      <x:c r="AI41" s="17" t="str">
        <x:v>2026-08-05</x:v>
      </x:c>
      <x:c r="AJ41" s="23" t="str">
        <x:v>https://www.globenewswire.com/news-release/2024/02/14/2828934/0/en/GRIID-Infrastructure-Announces-Plans-to-Double-Capacity-of-Lenoir-City-Tenn-Bitcoin-Mining-Operations.html | https://www.prnewswire.com/news-releases/cleanspark-announces-agreement-to-acquire-griid-infrastructure-based-on-an-enterprise-value-of-155-million-and-expansion-plans-of-over-400-mw-in-tennessee-302184116.html | https://www.sec.gov/Archives/edgar/data/827876/000119312525297510/clsk-20250930.htm</x:v>
      </x:c>
      <x:c r="AK41" s="23" t="str">
        <x:v>https://www.compute-atlas.com/api/facilities?state=TN</x:v>
      </x:c>
      <x:c r="AL41" s="23" t="str">
        <x:v>https://www.compute-atlas.com/api/facilities?state=TN</x:v>
      </x:c>
      <x:c r="AM41" s="23" t="str">
        <x:v>[]</x:v>
      </x:c>
      <x:c r="AN41" s="17" t="str">
        <x:v>crypto_mining</x:v>
      </x:c>
      <x:c r="AO41" s="77" t="b">
        <x:v>1</x:v>
      </x:c>
      <x:c r="AP41" s="23" t="str">
        <x:v>cleanspark</x:v>
      </x:c>
      <x:c r="AQ41" s="17" t="str">
        <x:v>cleanspark lenoir city bitcoin mining facility</x:v>
      </x:c>
      <x:c r="AR41" s="18" t="str"/>
    </x:row>
    <x:row r="42" ht="28" hidden="0" customHeight="1">
      <x:c r="A42" s="16" t="str">
        <x:v>compute_atlas</x:v>
      </x:c>
      <x:c r="B42" s="23" t="str">
        <x:v>cleanspark-limestone-tn</x:v>
      </x:c>
      <x:c r="C42" s="23" t="str">
        <x:v>CleanSpark Limestone Bitcoin Mining Facility (closed 2026)</x:v>
      </x:c>
      <x:c r="D42" s="17" t="str"/>
      <x:c r="E42" s="23" t="str">
        <x:v>CleanSpark, Inc.</x:v>
      </x:c>
      <x:c r="F42" s="17" t="str"/>
      <x:c r="G42" s="23" t="str"/>
      <x:c r="H42" s="17" t="str"/>
      <x:c r="I42" s="17" t="str">
        <x:v>Limestone</x:v>
      </x:c>
      <x:c r="J42" s="26" t="str">
        <x:v>Washington</x:v>
      </x:c>
      <x:c r="K42" s="17" t="str">
        <x:v>TN</x:v>
      </x:c>
      <x:c r="L42" s="17" t="str"/>
      <x:c r="M42" s="29" t="n">
        <x:v>36.2235</x:v>
      </x:c>
      <x:c r="N42" s="29" t="n">
        <x:v>-82.625</x:v>
      </x:c>
      <x:c r="O42" s="17" t="str">
        <x:v>approximate</x:v>
      </x:c>
      <x:c r="P42" s="17" t="str">
        <x:v>confirmed</x:v>
      </x:c>
      <x:c r="Q42" s="17" t="str"/>
      <x:c r="R42" s="17" t="str">
        <x:v>cancelled</x:v>
      </x:c>
      <x:c r="S42" s="17" t="str">
        <x:v>cancelled</x:v>
      </x:c>
      <x:c r="T42" s="17" t="str">
        <x:v>crypto_mining</x:v>
      </x:c>
      <x:c r="U42" s="17" t="str"/>
      <x:c r="V42" s="26" t="str"/>
      <x:c r="W42" s="26" t="str"/>
      <x:c r="X42" s="26" t="str"/>
      <x:c r="Y42" s="26" t="str"/>
      <x:c r="Z42" s="17" t="str"/>
      <x:c r="AA42" s="17" t="str"/>
      <x:c r="AB42" s="17" t="str"/>
      <x:c r="AC42" s="35" t="str"/>
      <x:c r="AD42" s="17" t="str"/>
      <x:c r="AE42" s="17" t="str"/>
      <x:c r="AF42" s="17" t="str"/>
      <x:c r="AG42" s="17" t="str"/>
      <x:c r="AH42" s="17" t="str"/>
      <x:c r="AI42" s="17" t="str">
        <x:v>2026-08-05</x:v>
      </x:c>
      <x:c r="AJ42" s="23" t="str">
        <x:v>https://www.prnewswire.com/news-releases/cleanspark-announces-agreement-to-acquire-griid-infrastructure-based-on-an-enterprise-value-of-155-million-and-expansion-plans-of-over-400-mw-in-tennessee-302184116.html | https://www.wjhl.com/news/local/bitcoin-mine-would-close-move-in-proposed-lawsuit-settlement/ | https://www.yahoo.com/news/articles/noisy-bitcoin-mine-shuts-down-212411956.html</x:v>
      </x:c>
      <x:c r="AK42" s="23" t="str">
        <x:v>https://www.compute-atlas.com/api/facilities?state=TN</x:v>
      </x:c>
      <x:c r="AL42" s="23" t="str">
        <x:v>https://www.compute-atlas.com/api/facilities?state=TN</x:v>
      </x:c>
      <x:c r="AM42" s="23" t="str">
        <x:v>[]</x:v>
      </x:c>
      <x:c r="AN42" s="17" t="str">
        <x:v>crypto_mining</x:v>
      </x:c>
      <x:c r="AO42" s="77" t="b">
        <x:v>1</x:v>
      </x:c>
      <x:c r="AP42" s="23" t="str">
        <x:v>cleanspark</x:v>
      </x:c>
      <x:c r="AQ42" s="17" t="str">
        <x:v>cleanspark limestone bitcoin mining facility closed 2026</x:v>
      </x:c>
      <x:c r="AR42" s="18" t="str"/>
    </x:row>
    <x:row r="43" ht="28" hidden="0" customHeight="1">
      <x:c r="A43" s="16" t="str">
        <x:v>compute_atlas</x:v>
      </x:c>
      <x:c r="B43" s="23" t="str">
        <x:v>cleanspark-maynardville-tn</x:v>
      </x:c>
      <x:c r="C43" s="23" t="str">
        <x:v>CleanSpark Maynardville Bitcoin Mining Facility</x:v>
      </x:c>
      <x:c r="D43" s="17" t="str"/>
      <x:c r="E43" s="23" t="str">
        <x:v>CleanSpark, Inc.</x:v>
      </x:c>
      <x:c r="F43" s="17" t="str"/>
      <x:c r="G43" s="23" t="str"/>
      <x:c r="H43" s="17" t="str"/>
      <x:c r="I43" s="17" t="str">
        <x:v>Maynardville</x:v>
      </x:c>
      <x:c r="J43" s="26" t="str">
        <x:v>Union</x:v>
      </x:c>
      <x:c r="K43" s="17" t="str">
        <x:v>TN</x:v>
      </x:c>
      <x:c r="L43" s="17" t="str"/>
      <x:c r="M43" s="29" t="n">
        <x:v>36.2506</x:v>
      </x:c>
      <x:c r="N43" s="29" t="n">
        <x:v>-83.7974</x:v>
      </x:c>
      <x:c r="O43" s="17" t="str">
        <x:v>approximate</x:v>
      </x:c>
      <x:c r="P43" s="17" t="str">
        <x:v>confirmed</x:v>
      </x:c>
      <x:c r="Q43" s="17" t="str"/>
      <x:c r="R43" s="17" t="str">
        <x:v>operational</x:v>
      </x:c>
      <x:c r="S43" s="17" t="str">
        <x:v>operational</x:v>
      </x:c>
      <x:c r="T43" s="17" t="str">
        <x:v>crypto_mining</x:v>
      </x:c>
      <x:c r="U43" s="17" t="str"/>
      <x:c r="V43" s="26" t="str"/>
      <x:c r="W43" s="26" t="str"/>
      <x:c r="X43" s="26" t="str"/>
      <x:c r="Y43" s="26" t="str"/>
      <x:c r="Z43" s="17" t="str"/>
      <x:c r="AA43" s="17" t="str"/>
      <x:c r="AB43" s="17" t="str"/>
      <x:c r="AC43" s="35" t="str"/>
      <x:c r="AD43" s="17" t="str"/>
      <x:c r="AE43" s="17" t="str"/>
      <x:c r="AF43" s="17" t="str"/>
      <x:c r="AG43" s="17" t="str"/>
      <x:c r="AH43" s="17" t="str"/>
      <x:c r="AI43" s="17" t="str">
        <x:v>2026-08-05</x:v>
      </x:c>
      <x:c r="AJ43" s="23" t="str">
        <x:v>https://www.prnewswire.com/news-releases/cleanspark-announces-agreement-to-acquire-griid-infrastructure-based-on-an-enterprise-value-of-155-million-and-expansion-plans-of-over-400-mw-in-tennessee-302184116.html | https://www.sec.gov/Archives/edgar/data/827876/000119312525297510/clsk-20250930.htm</x:v>
      </x:c>
      <x:c r="AK43" s="23" t="str">
        <x:v>https://www.compute-atlas.com/api/facilities?state=TN</x:v>
      </x:c>
      <x:c r="AL43" s="23" t="str">
        <x:v>https://www.compute-atlas.com/api/facilities?state=TN</x:v>
      </x:c>
      <x:c r="AM43" s="23" t="str">
        <x:v>[]</x:v>
      </x:c>
      <x:c r="AN43" s="17" t="str">
        <x:v>crypto_mining</x:v>
      </x:c>
      <x:c r="AO43" s="77" t="b">
        <x:v>1</x:v>
      </x:c>
      <x:c r="AP43" s="23" t="str">
        <x:v>cleanspark</x:v>
      </x:c>
      <x:c r="AQ43" s="17" t="str">
        <x:v>cleanspark maynardville bitcoin mining facility</x:v>
      </x:c>
      <x:c r="AR43" s="18" t="str"/>
    </x:row>
    <x:row r="44" ht="28" hidden="0" customHeight="1">
      <x:c r="A44" s="16" t="str">
        <x:v>compute_atlas</x:v>
      </x:c>
      <x:c r="B44" s="23" t="str">
        <x:v>cleanspark-new-tazewell-tn</x:v>
      </x:c>
      <x:c r="C44" s="23" t="str">
        <x:v>CleanSpark New Tazewell Bitcoin Mining Facility</x:v>
      </x:c>
      <x:c r="D44" s="17" t="str"/>
      <x:c r="E44" s="23" t="str">
        <x:v>CleanSpark, Inc.</x:v>
      </x:c>
      <x:c r="F44" s="17" t="str"/>
      <x:c r="G44" s="23" t="str"/>
      <x:c r="H44" s="17" t="str"/>
      <x:c r="I44" s="17" t="str">
        <x:v>New Tazewell</x:v>
      </x:c>
      <x:c r="J44" s="26" t="str">
        <x:v>Claiborne</x:v>
      </x:c>
      <x:c r="K44" s="17" t="str">
        <x:v>TN</x:v>
      </x:c>
      <x:c r="L44" s="17" t="str"/>
      <x:c r="M44" s="29" t="n">
        <x:v>36.4426</x:v>
      </x:c>
      <x:c r="N44" s="29" t="n">
        <x:v>-83.5996</x:v>
      </x:c>
      <x:c r="O44" s="17" t="str">
        <x:v>approximate</x:v>
      </x:c>
      <x:c r="P44" s="17" t="str">
        <x:v>reported</x:v>
      </x:c>
      <x:c r="Q44" s="17" t="str"/>
      <x:c r="R44" s="17" t="str">
        <x:v>operational</x:v>
      </x:c>
      <x:c r="S44" s="17" t="str">
        <x:v>operational</x:v>
      </x:c>
      <x:c r="T44" s="17" t="str">
        <x:v>crypto_mining</x:v>
      </x:c>
      <x:c r="U44" s="17" t="str"/>
      <x:c r="V44" s="26" t="str"/>
      <x:c r="W44" s="26" t="str"/>
      <x:c r="X44" s="26" t="str"/>
      <x:c r="Y44" s="26" t="str"/>
      <x:c r="Z44" s="17" t="str"/>
      <x:c r="AA44" s="17" t="str"/>
      <x:c r="AB44" s="17" t="str"/>
      <x:c r="AC44" s="35" t="str"/>
      <x:c r="AD44" s="17" t="str"/>
      <x:c r="AE44" s="17" t="str"/>
      <x:c r="AF44" s="17" t="str"/>
      <x:c r="AG44" s="17" t="str"/>
      <x:c r="AH44" s="17" t="str"/>
      <x:c r="AI44" s="17" t="str">
        <x:v>2026-08-05</x:v>
      </x:c>
      <x:c r="AJ44" s="23" t="str">
        <x:v>https://www.prnewswire.com/news-releases/cleanspark-to-add-5-ehs-and-increase-2024-guidance-with-acquisition-of-seven-additional-bitcoin-mining-facilities-in-tennessee-302244673.html | https://www.sec.gov/Archives/edgar/data/827876/000119312525297510/clsk-20250930.htm</x:v>
      </x:c>
      <x:c r="AK44" s="23" t="str">
        <x:v>https://www.compute-atlas.com/api/facilities?state=TN</x:v>
      </x:c>
      <x:c r="AL44" s="23" t="str">
        <x:v>https://www.compute-atlas.com/api/facilities?state=TN</x:v>
      </x:c>
      <x:c r="AM44" s="23" t="str">
        <x:v>[]</x:v>
      </x:c>
      <x:c r="AN44" s="17" t="str">
        <x:v>crypto_mining</x:v>
      </x:c>
      <x:c r="AO44" s="77" t="b">
        <x:v>1</x:v>
      </x:c>
      <x:c r="AP44" s="23" t="str">
        <x:v>cleanspark</x:v>
      </x:c>
      <x:c r="AQ44" s="17" t="str">
        <x:v>cleanspark new tazewell bitcoin mining facility</x:v>
      </x:c>
      <x:c r="AR44" s="18" t="str"/>
    </x:row>
    <x:row r="45" ht="28" hidden="0" customHeight="1">
      <x:c r="A45" s="16" t="str">
        <x:v>compute_atlas</x:v>
      </x:c>
      <x:c r="B45" s="23" t="str">
        <x:v>cleanspark-oneida-tn</x:v>
      </x:c>
      <x:c r="C45" s="23" t="str">
        <x:v>CleanSpark Oneida Bitcoin Mining Facility</x:v>
      </x:c>
      <x:c r="D45" s="17" t="str"/>
      <x:c r="E45" s="23" t="str">
        <x:v>CleanSpark, Inc.</x:v>
      </x:c>
      <x:c r="F45" s="17" t="str"/>
      <x:c r="G45" s="23" t="str"/>
      <x:c r="H45" s="17" t="str"/>
      <x:c r="I45" s="17" t="str">
        <x:v>Oneida</x:v>
      </x:c>
      <x:c r="J45" s="26" t="str">
        <x:v>Scott</x:v>
      </x:c>
      <x:c r="K45" s="17" t="str">
        <x:v>TN</x:v>
      </x:c>
      <x:c r="L45" s="17" t="str"/>
      <x:c r="M45" s="29" t="n">
        <x:v>36.4981</x:v>
      </x:c>
      <x:c r="N45" s="29" t="n">
        <x:v>-84.5127</x:v>
      </x:c>
      <x:c r="O45" s="17" t="str">
        <x:v>approximate</x:v>
      </x:c>
      <x:c r="P45" s="17" t="str">
        <x:v>confirmed</x:v>
      </x:c>
      <x:c r="Q45" s="17" t="str"/>
      <x:c r="R45" s="17" t="str">
        <x:v>operational</x:v>
      </x:c>
      <x:c r="S45" s="17" t="str">
        <x:v>operational</x:v>
      </x:c>
      <x:c r="T45" s="17" t="str">
        <x:v>crypto_mining</x:v>
      </x:c>
      <x:c r="U45" s="17" t="str"/>
      <x:c r="V45" s="26" t="str"/>
      <x:c r="W45" s="26" t="str"/>
      <x:c r="X45" s="26" t="str"/>
      <x:c r="Y45" s="26" t="str"/>
      <x:c r="Z45" s="17" t="str"/>
      <x:c r="AA45" s="17" t="str"/>
      <x:c r="AB45" s="17" t="str"/>
      <x:c r="AC45" s="35" t="str"/>
      <x:c r="AD45" s="17" t="str"/>
      <x:c r="AE45" s="17" t="str"/>
      <x:c r="AF45" s="17" t="str"/>
      <x:c r="AG45" s="17" t="str"/>
      <x:c r="AH45" s="17" t="str"/>
      <x:c r="AI45" s="17" t="str">
        <x:v>2026-08-05</x:v>
      </x:c>
      <x:c r="AJ45" s="23" t="str">
        <x:v>https://www.prnewswire.com/news-releases/cleanspark-to-add-5-ehs-and-increase-2024-guidance-with-acquisition-of-seven-additional-bitcoin-mining-facilities-in-tennessee-302244673.html | https://www.sec.gov/Archives/edgar/data/827876/000119312525297510/clsk-20250930.htm</x:v>
      </x:c>
      <x:c r="AK45" s="23" t="str">
        <x:v>https://www.compute-atlas.com/api/facilities?state=TN</x:v>
      </x:c>
      <x:c r="AL45" s="23" t="str">
        <x:v>https://www.compute-atlas.com/api/facilities?state=TN</x:v>
      </x:c>
      <x:c r="AM45" s="23" t="str">
        <x:v>[]</x:v>
      </x:c>
      <x:c r="AN45" s="17" t="str">
        <x:v>crypto_mining</x:v>
      </x:c>
      <x:c r="AO45" s="77" t="b">
        <x:v>1</x:v>
      </x:c>
      <x:c r="AP45" s="23" t="str">
        <x:v>cleanspark</x:v>
      </x:c>
      <x:c r="AQ45" s="17" t="str">
        <x:v>cleanspark oneida bitcoin mining facility</x:v>
      </x:c>
      <x:c r="AR45" s="18" t="str"/>
    </x:row>
    <x:row r="46" ht="28" hidden="0" customHeight="1">
      <x:c r="A46" s="16" t="str">
        <x:v>compute_atlas</x:v>
      </x:c>
      <x:c r="B46" s="23" t="str">
        <x:v>cleanspark-west-crossville-tn</x:v>
      </x:c>
      <x:c r="C46" s="23" t="str">
        <x:v>CleanSpark West Crossville Bitcoin Mining Facility</x:v>
      </x:c>
      <x:c r="D46" s="17" t="str"/>
      <x:c r="E46" s="23" t="str">
        <x:v>CleanSpark, Inc.</x:v>
      </x:c>
      <x:c r="F46" s="17" t="str"/>
      <x:c r="G46" s="23" t="str"/>
      <x:c r="H46" s="17" t="str"/>
      <x:c r="I46" s="17" t="str">
        <x:v>Crossville</x:v>
      </x:c>
      <x:c r="J46" s="26" t="str">
        <x:v>Cumberland</x:v>
      </x:c>
      <x:c r="K46" s="17" t="str">
        <x:v>TN</x:v>
      </x:c>
      <x:c r="L46" s="17" t="str"/>
      <x:c r="M46" s="29" t="n">
        <x:v>35.9487</x:v>
      </x:c>
      <x:c r="N46" s="29" t="n">
        <x:v>-85.0269</x:v>
      </x:c>
      <x:c r="O46" s="17" t="str">
        <x:v>approximate</x:v>
      </x:c>
      <x:c r="P46" s="17" t="str">
        <x:v>confirmed</x:v>
      </x:c>
      <x:c r="Q46" s="17" t="str"/>
      <x:c r="R46" s="17" t="str">
        <x:v>operational</x:v>
      </x:c>
      <x:c r="S46" s="17" t="str">
        <x:v>operational</x:v>
      </x:c>
      <x:c r="T46" s="17" t="str">
        <x:v>crypto_mining</x:v>
      </x:c>
      <x:c r="U46" s="17" t="str"/>
      <x:c r="V46" s="26" t="str"/>
      <x:c r="W46" s="26" t="str"/>
      <x:c r="X46" s="26" t="str"/>
      <x:c r="Y46" s="26" t="str"/>
      <x:c r="Z46" s="17" t="str"/>
      <x:c r="AA46" s="17" t="str"/>
      <x:c r="AB46" s="17" t="str"/>
      <x:c r="AC46" s="35" t="str"/>
      <x:c r="AD46" s="17" t="str"/>
      <x:c r="AE46" s="17" t="str"/>
      <x:c r="AF46" s="17" t="str"/>
      <x:c r="AG46" s="17" t="str"/>
      <x:c r="AH46" s="17" t="str"/>
      <x:c r="AI46" s="17" t="str">
        <x:v>2026-08-05</x:v>
      </x:c>
      <x:c r="AJ46" s="23" t="str">
        <x:v>https://www.prnewswire.com/news-releases/cleanspark-to-add-5-ehs-and-increase-2024-guidance-with-acquisition-of-seven-additional-bitcoin-mining-facilities-in-tennessee-302244673.html | https://www.sec.gov/Archives/edgar/data/827876/000119312525297510/clsk-20250930.htm</x:v>
      </x:c>
      <x:c r="AK46" s="23" t="str">
        <x:v>https://www.compute-atlas.com/api/facilities?state=TN</x:v>
      </x:c>
      <x:c r="AL46" s="23" t="str">
        <x:v>https://www.compute-atlas.com/api/facilities?state=TN</x:v>
      </x:c>
      <x:c r="AM46" s="23" t="str">
        <x:v>[]</x:v>
      </x:c>
      <x:c r="AN46" s="17" t="str">
        <x:v>crypto_mining</x:v>
      </x:c>
      <x:c r="AO46" s="77" t="b">
        <x:v>1</x:v>
      </x:c>
      <x:c r="AP46" s="23" t="str">
        <x:v>cleanspark</x:v>
      </x:c>
      <x:c r="AQ46" s="17" t="str">
        <x:v>cleanspark west crossville bitcoin mining facility</x:v>
      </x:c>
      <x:c r="AR46" s="18" t="str"/>
    </x:row>
    <x:row r="47" ht="28" hidden="0" customHeight="1">
      <x:c r="A47" s="16" t="str">
        <x:v>compute_atlas</x:v>
      </x:c>
      <x:c r="B47" s="23" t="str">
        <x:v>cleanspark-winfield-tn</x:v>
      </x:c>
      <x:c r="C47" s="23" t="str">
        <x:v>CleanSpark Winfield Bitcoin Mining Facility</x:v>
      </x:c>
      <x:c r="D47" s="17" t="str"/>
      <x:c r="E47" s="23" t="str">
        <x:v>CleanSpark, Inc.</x:v>
      </x:c>
      <x:c r="F47" s="17" t="str"/>
      <x:c r="G47" s="23" t="str"/>
      <x:c r="H47" s="17" t="str"/>
      <x:c r="I47" s="17" t="str">
        <x:v>Winfield</x:v>
      </x:c>
      <x:c r="J47" s="26" t="str">
        <x:v>Scott</x:v>
      </x:c>
      <x:c r="K47" s="17" t="str">
        <x:v>TN</x:v>
      </x:c>
      <x:c r="L47" s="17" t="str"/>
      <x:c r="M47" s="29" t="n">
        <x:v>36.5619</x:v>
      </x:c>
      <x:c r="N47" s="29" t="n">
        <x:v>-84.4506</x:v>
      </x:c>
      <x:c r="O47" s="17" t="str">
        <x:v>approximate</x:v>
      </x:c>
      <x:c r="P47" s="17" t="str">
        <x:v>confirmed</x:v>
      </x:c>
      <x:c r="Q47" s="17" t="str"/>
      <x:c r="R47" s="17" t="str">
        <x:v>operational</x:v>
      </x:c>
      <x:c r="S47" s="17" t="str">
        <x:v>operational</x:v>
      </x:c>
      <x:c r="T47" s="17" t="str">
        <x:v>crypto_mining</x:v>
      </x:c>
      <x:c r="U47" s="17" t="str"/>
      <x:c r="V47" s="26" t="str"/>
      <x:c r="W47" s="26" t="str"/>
      <x:c r="X47" s="26" t="str"/>
      <x:c r="Y47" s="26" t="str"/>
      <x:c r="Z47" s="17" t="str"/>
      <x:c r="AA47" s="17" t="str"/>
      <x:c r="AB47" s="17" t="str"/>
      <x:c r="AC47" s="35" t="str"/>
      <x:c r="AD47" s="17" t="str"/>
      <x:c r="AE47" s="17" t="str"/>
      <x:c r="AF47" s="17" t="str"/>
      <x:c r="AG47" s="17" t="str"/>
      <x:c r="AH47" s="17" t="str"/>
      <x:c r="AI47" s="17" t="str">
        <x:v>2026-08-05</x:v>
      </x:c>
      <x:c r="AJ47" s="23" t="str">
        <x:v>https://www.prnewswire.com/news-releases/cleanspark-to-add-5-ehs-and-increase-2024-guidance-with-acquisition-of-seven-additional-bitcoin-mining-facilities-in-tennessee-302244673.html | https://www.sec.gov/Archives/edgar/data/827876/000119312525297510/clsk-20250930.htm</x:v>
      </x:c>
      <x:c r="AK47" s="23" t="str">
        <x:v>https://www.compute-atlas.com/api/facilities?state=TN</x:v>
      </x:c>
      <x:c r="AL47" s="23" t="str">
        <x:v>https://www.compute-atlas.com/api/facilities?state=TN</x:v>
      </x:c>
      <x:c r="AM47" s="23" t="str">
        <x:v>[]</x:v>
      </x:c>
      <x:c r="AN47" s="17" t="str">
        <x:v>crypto_mining</x:v>
      </x:c>
      <x:c r="AO47" s="77" t="b">
        <x:v>1</x:v>
      </x:c>
      <x:c r="AP47" s="23" t="str">
        <x:v>cleanspark</x:v>
      </x:c>
      <x:c r="AQ47" s="17" t="str">
        <x:v>cleanspark winfield bitcoin mining facility</x:v>
      </x:c>
      <x:c r="AR47" s="18" t="str"/>
    </x:row>
    <x:row r="48" ht="28" hidden="0" customHeight="1">
      <x:c r="A48" s="16" t="str">
        <x:v>compute_atlas</x:v>
      </x:c>
      <x:c r="B48" s="23" t="str">
        <x:v>databank-mem1-memphis-tn</x:v>
      </x:c>
      <x:c r="C48" s="23" t="str">
        <x:v>DataBank MEM1 (Memphis)</x:v>
      </x:c>
      <x:c r="D48" s="17" t="str"/>
      <x:c r="E48" s="23" t="str">
        <x:v>DataBank</x:v>
      </x:c>
      <x:c r="F48" s="17" t="str"/>
      <x:c r="G48" s="23" t="str"/>
      <x:c r="H48" s="17" t="str"/>
      <x:c r="I48" s="17" t="str">
        <x:v>Memphis</x:v>
      </x:c>
      <x:c r="J48" s="26" t="str">
        <x:v>Shelby</x:v>
      </x:c>
      <x:c r="K48" s="17" t="str">
        <x:v>TN</x:v>
      </x:c>
      <x:c r="L48" s="17" t="str"/>
      <x:c r="M48" s="29" t="n">
        <x:v>35.20249</x:v>
      </x:c>
      <x:c r="N48" s="29" t="n">
        <x:v>-89.8097</x:v>
      </x:c>
      <x:c r="O48" s="17" t="str">
        <x:v>exact</x:v>
      </x:c>
      <x:c r="P48" s="17" t="str">
        <x:v>confirmed</x:v>
      </x:c>
      <x:c r="Q48" s="17" t="str"/>
      <x:c r="R48" s="17" t="str">
        <x:v>operational</x:v>
      </x:c>
      <x:c r="S48" s="17" t="str">
        <x:v>operational</x:v>
      </x:c>
      <x:c r="T48" s="17" t="str">
        <x:v>data_center</x:v>
      </x:c>
      <x:c r="U48" s="17" t="str"/>
      <x:c r="V48" s="26" t="str"/>
      <x:c r="W48" s="26" t="str"/>
      <x:c r="X48" s="26" t="str"/>
      <x:c r="Y48" s="26" t="str"/>
      <x:c r="Z48" s="17" t="str"/>
      <x:c r="AA48" s="17" t="str"/>
      <x:c r="AB48" s="17" t="str"/>
      <x:c r="AC48" s="35" t="str"/>
      <x:c r="AD48" s="17" t="str"/>
      <x:c r="AE48" s="17" t="str"/>
      <x:c r="AF48" s="17" t="str"/>
      <x:c r="AG48" s="17" t="str"/>
      <x:c r="AH48" s="17" t="str"/>
      <x:c r="AI48" s="17" t="str">
        <x:v>2026-08-15</x:v>
      </x:c>
      <x:c r="AJ48" s="23" t="str">
        <x:v>https://baxtel.com/data-center/memphis | https://www.databank.com/data-centers/memphis/7620-appling-center-drive/</x:v>
      </x:c>
      <x:c r="AK48" s="23" t="str">
        <x:v>https://www.compute-atlas.com/api/facilities?state=TN</x:v>
      </x:c>
      <x:c r="AL48" s="23" t="str">
        <x:v>https://www.compute-atlas.com/api/facilities?state=TN</x:v>
      </x:c>
      <x:c r="AM48" s="23" t="str">
        <x:v>[]</x:v>
      </x:c>
      <x:c r="AN48" s="17" t="str">
        <x:v>core_data_center</x:v>
      </x:c>
      <x:c r="AO48" s="77" t="b">
        <x:v>1</x:v>
      </x:c>
      <x:c r="AP48" s="23" t="str">
        <x:v>databank</x:v>
      </x:c>
      <x:c r="AQ48" s="17" t="str">
        <x:v>databank mem1 memphis</x:v>
      </x:c>
      <x:c r="AR48" s="18" t="str"/>
    </x:row>
    <x:row r="49" ht="28" hidden="0" customHeight="1">
      <x:c r="A49" s="16" t="str">
        <x:v>compute_atlas</x:v>
      </x:c>
      <x:c r="B49" s="23" t="str">
        <x:v>dcblox-nashville-grassmere-tn</x:v>
      </x:c>
      <x:c r="C49" s="23" t="str">
        <x:v>DC BLOX Nashville (Grassmere Park)</x:v>
      </x:c>
      <x:c r="D49" s="17" t="str"/>
      <x:c r="E49" s="23" t="str">
        <x:v>DC BLOX</x:v>
      </x:c>
      <x:c r="F49" s="17" t="str"/>
      <x:c r="G49" s="23" t="str"/>
      <x:c r="H49" s="17" t="str"/>
      <x:c r="I49" s="17" t="str">
        <x:v>Nashville</x:v>
      </x:c>
      <x:c r="J49" s="26" t="str">
        <x:v>Davidson</x:v>
      </x:c>
      <x:c r="K49" s="17" t="str">
        <x:v>TN</x:v>
      </x:c>
      <x:c r="L49" s="17" t="str"/>
      <x:c r="M49" s="29" t="n">
        <x:v>36.0865</x:v>
      </x:c>
      <x:c r="N49" s="29" t="n">
        <x:v>-86.74893</x:v>
      </x:c>
      <x:c r="O49" s="17" t="str">
        <x:v>approximate</x:v>
      </x:c>
      <x:c r="P49" s="17" t="str">
        <x:v>confirmed</x:v>
      </x:c>
      <x:c r="Q49" s="17" t="str"/>
      <x:c r="R49" s="17" t="str">
        <x:v>proposed</x:v>
      </x:c>
      <x:c r="S49" s="17" t="str">
        <x:v>proposed</x:v>
      </x:c>
      <x:c r="T49" s="17" t="str">
        <x:v>data_center</x:v>
      </x:c>
      <x:c r="U49" s="17" t="str"/>
      <x:c r="V49" s="26" t="str"/>
      <x:c r="W49" s="26" t="str"/>
      <x:c r="X49" s="26" t="str"/>
      <x:c r="Y49" s="26" t="str"/>
      <x:c r="Z49" s="17" t="str"/>
      <x:c r="AA49" s="17" t="str"/>
      <x:c r="AB49" s="17" t="str"/>
      <x:c r="AC49" s="35" t="str"/>
      <x:c r="AD49" s="17" t="str"/>
      <x:c r="AE49" s="17" t="str"/>
      <x:c r="AF49" s="17" t="str"/>
      <x:c r="AG49" s="17" t="str"/>
      <x:c r="AH49" s="17" t="str"/>
      <x:c r="AI49" s="17" t="str">
        <x:v>2026-08-15</x:v>
      </x:c>
      <x:c r="AJ49" s="23" t="str">
        <x:v>https://williamsonsource.com/dc-blox-sues-metro-over-blocked-data-center-project-near-nashville-zoo/ | https://www.wsmv.com/2026/07/22/metro-council-passes-first-data-center-regulations-nashville-heres-what-changes/ | https://www.yahoo.com/news/us/articles/guide-data-centers-tennessee-could-081728521.html</x:v>
      </x:c>
      <x:c r="AK49" s="23" t="str">
        <x:v>https://www.compute-atlas.com/api/facilities?state=TN</x:v>
      </x:c>
      <x:c r="AL49" s="23" t="str">
        <x:v>https://www.compute-atlas.com/api/facilities?state=TN</x:v>
      </x:c>
      <x:c r="AM49" s="23" t="str">
        <x:v>[]</x:v>
      </x:c>
      <x:c r="AN49" s="17" t="str">
        <x:v>core_data_center</x:v>
      </x:c>
      <x:c r="AO49" s="77" t="b">
        <x:v>1</x:v>
      </x:c>
      <x:c r="AP49" s="23" t="str">
        <x:v>dc blox</x:v>
      </x:c>
      <x:c r="AQ49" s="17" t="str">
        <x:v>dc blox nashville grassmere park</x:v>
      </x:c>
      <x:c r="AR49" s="18" t="str"/>
    </x:row>
    <x:row r="50" ht="28" hidden="0" customHeight="1">
      <x:c r="A50" s="16" t="str">
        <x:v>compute_atlas</x:v>
      </x:c>
      <x:c r="B50" s="23" t="str">
        <x:v>flexential-nashville-brentwood-nas01-04-tn</x:v>
      </x:c>
      <x:c r="C50" s="23" t="str">
        <x:v>Flexential Nashville - Brentwood (NAS01/04)</x:v>
      </x:c>
      <x:c r="D50" s="17" t="str"/>
      <x:c r="E50" s="23" t="str">
        <x:v>Flexential</x:v>
      </x:c>
      <x:c r="F50" s="17" t="str"/>
      <x:c r="G50" s="23" t="str">
        <x:v>7100 Commerce Way</x:v>
      </x:c>
      <x:c r="H50" s="17" t="str"/>
      <x:c r="I50" s="17" t="str">
        <x:v>Brentwood</x:v>
      </x:c>
      <x:c r="J50" s="26" t="str">
        <x:v>Williamson</x:v>
      </x:c>
      <x:c r="K50" s="17" t="str">
        <x:v>TN</x:v>
      </x:c>
      <x:c r="L50" s="17" t="str">
        <x:v>37027</x:v>
      </x:c>
      <x:c r="M50" s="29" t="n">
        <x:v>35.9727294</x:v>
      </x:c>
      <x:c r="N50" s="29" t="n">
        <x:v>-86.8084949</x:v>
      </x:c>
      <x:c r="O50" s="17" t="str">
        <x:v>approximate</x:v>
      </x:c>
      <x:c r="P50" s="17" t="str">
        <x:v>reported</x:v>
      </x:c>
      <x:c r="Q50" s="17" t="str"/>
      <x:c r="R50" s="17" t="str">
        <x:v>operational</x:v>
      </x:c>
      <x:c r="S50" s="17" t="str">
        <x:v>operational</x:v>
      </x:c>
      <x:c r="T50" s="17" t="str">
        <x:v>data_center</x:v>
      </x:c>
      <x:c r="U50" s="17" t="str"/>
      <x:c r="V50" s="26" t="str"/>
      <x:c r="W50" s="26" t="str"/>
      <x:c r="X50" s="26" t="str"/>
      <x:c r="Y50" s="26" t="str"/>
      <x:c r="Z50" s="17" t="str"/>
      <x:c r="AA50" s="17" t="str"/>
      <x:c r="AB50" s="17" t="str"/>
      <x:c r="AC50" s="35" t="str"/>
      <x:c r="AD50" s="17" t="str"/>
      <x:c r="AE50" s="17" t="str"/>
      <x:c r="AF50" s="17" t="str"/>
      <x:c r="AG50" s="17" t="str"/>
      <x:c r="AH50" s="17" t="str"/>
      <x:c r="AI50" s="17" t="str">
        <x:v>2026-07-23</x:v>
      </x:c>
      <x:c r="AJ50" s="23" t="str">
        <x:v>https://www.flexential.com/data-centers/tn/nashville/brentwood-data-center | https://www.openstreetmap.org/node/12112295055</x:v>
      </x:c>
      <x:c r="AK50" s="23" t="str">
        <x:v>https://www.compute-atlas.com/api/facilities?state=TN</x:v>
      </x:c>
      <x:c r="AL50" s="23" t="str">
        <x:v>https://www.compute-atlas.com/api/facilities?state=TN</x:v>
      </x:c>
      <x:c r="AM50" s="23" t="str">
        <x:v>[]</x:v>
      </x:c>
      <x:c r="AN50" s="17" t="str">
        <x:v>core_data_center</x:v>
      </x:c>
      <x:c r="AO50" s="77" t="b">
        <x:v>1</x:v>
      </x:c>
      <x:c r="AP50" s="23" t="str">
        <x:v>flexential</x:v>
      </x:c>
      <x:c r="AQ50" s="17" t="str">
        <x:v>flexential nashville brentwood nas01 04</x:v>
      </x:c>
      <x:c r="AR50" s="18" t="str">
        <x:v>7100 commerce way</x:v>
      </x:c>
    </x:row>
    <x:row r="51" ht="28" hidden="0" customHeight="1">
      <x:c r="A51" s="16" t="str">
        <x:v>compute_atlas</x:v>
      </x:c>
      <x:c r="B51" s="23" t="str">
        <x:v>flexential-nashville-cool-springs-tn</x:v>
      </x:c>
      <x:c r="C51" s="23" t="str">
        <x:v>Flexential Nashville - Cool Springs</x:v>
      </x:c>
      <x:c r="D51" s="17" t="str"/>
      <x:c r="E51" s="23" t="str">
        <x:v>Flexential</x:v>
      </x:c>
      <x:c r="F51" s="17" t="str"/>
      <x:c r="G51" s="23" t="str">
        <x:v>425 Duke Drive</x:v>
      </x:c>
      <x:c r="H51" s="17" t="str"/>
      <x:c r="I51" s="17" t="str">
        <x:v>Franklin</x:v>
      </x:c>
      <x:c r="J51" s="26" t="str">
        <x:v>Williamson</x:v>
      </x:c>
      <x:c r="K51" s="17" t="str">
        <x:v>TN</x:v>
      </x:c>
      <x:c r="L51" s="17" t="str">
        <x:v>37067</x:v>
      </x:c>
      <x:c r="M51" s="29" t="n">
        <x:v>35.951045</x:v>
      </x:c>
      <x:c r="N51" s="29" t="n">
        <x:v>-86.833406</x:v>
      </x:c>
      <x:c r="O51" s="17" t="str">
        <x:v>exact</x:v>
      </x:c>
      <x:c r="P51" s="17" t="str">
        <x:v>reported</x:v>
      </x:c>
      <x:c r="Q51" s="17" t="str"/>
      <x:c r="R51" s="17" t="str">
        <x:v>operational</x:v>
      </x:c>
      <x:c r="S51" s="17" t="str">
        <x:v>operational</x:v>
      </x:c>
      <x:c r="T51" s="17" t="str">
        <x:v>data_center</x:v>
      </x:c>
      <x:c r="U51" s="17" t="str"/>
      <x:c r="V51" s="26" t="str"/>
      <x:c r="W51" s="26" t="str"/>
      <x:c r="X51" s="26" t="str"/>
      <x:c r="Y51" s="26" t="str"/>
      <x:c r="Z51" s="17" t="str"/>
      <x:c r="AA51" s="17" t="str"/>
      <x:c r="AB51" s="17" t="str"/>
      <x:c r="AC51" s="35" t="str"/>
      <x:c r="AD51" s="17" t="str"/>
      <x:c r="AE51" s="17" t="str"/>
      <x:c r="AF51" s="17" t="str"/>
      <x:c r="AG51" s="17" t="str"/>
      <x:c r="AH51" s="17" t="str"/>
      <x:c r="AI51" s="17" t="str">
        <x:v>2026-07-23</x:v>
      </x:c>
      <x:c r="AJ51" s="23" t="str">
        <x:v>https://www.arcgis.com/home/item.html?id=597555ce8e4a4892a030784a7c657fdd | https://www.flexential.com/data-centers/tn/nashville/cool-springs-data-center | https://www.openstreetmap.org/way/1210515186</x:v>
      </x:c>
      <x:c r="AK51" s="23" t="str">
        <x:v>https://www.compute-atlas.com/api/facilities?state=TN</x:v>
      </x:c>
      <x:c r="AL51" s="23" t="str">
        <x:v>https://www.compute-atlas.com/api/facilities?state=TN</x:v>
      </x:c>
      <x:c r="AM51" s="23" t="str">
        <x:v>[]</x:v>
      </x:c>
      <x:c r="AN51" s="17" t="str">
        <x:v>core_data_center</x:v>
      </x:c>
      <x:c r="AO51" s="77" t="b">
        <x:v>1</x:v>
      </x:c>
      <x:c r="AP51" s="23" t="str">
        <x:v>flexential</x:v>
      </x:c>
      <x:c r="AQ51" s="17" t="str">
        <x:v>flexential nashville cool springs</x:v>
      </x:c>
      <x:c r="AR51" s="18" t="str">
        <x:v>425 duke dr</x:v>
      </x:c>
    </x:row>
    <x:row r="52" ht="28" hidden="0" customHeight="1">
      <x:c r="A52" s="16" t="str">
        <x:v>compute_atlas</x:v>
      </x:c>
      <x:c r="B52" s="23" t="str">
        <x:v>flexential-nashville-franklin-tn</x:v>
      </x:c>
      <x:c r="C52" s="23" t="str">
        <x:v>Flexential Nashville - Franklin</x:v>
      </x:c>
      <x:c r="D52" s="17" t="str"/>
      <x:c r="E52" s="23" t="str">
        <x:v>Flexential</x:v>
      </x:c>
      <x:c r="F52" s="17" t="str"/>
      <x:c r="G52" s="23" t="str">
        <x:v>4600 Carothers Parkway</x:v>
      </x:c>
      <x:c r="H52" s="17" t="str"/>
      <x:c r="I52" s="17" t="str">
        <x:v>Franklin</x:v>
      </x:c>
      <x:c r="J52" s="26" t="str">
        <x:v>Williamson</x:v>
      </x:c>
      <x:c r="K52" s="17" t="str">
        <x:v>TN</x:v>
      </x:c>
      <x:c r="L52" s="17" t="str">
        <x:v>37067</x:v>
      </x:c>
      <x:c r="M52" s="29" t="n">
        <x:v>35.9204203</x:v>
      </x:c>
      <x:c r="N52" s="29" t="n">
        <x:v>-86.8155401</x:v>
      </x:c>
      <x:c r="O52" s="17" t="str">
        <x:v>exact</x:v>
      </x:c>
      <x:c r="P52" s="17" t="str">
        <x:v>reported</x:v>
      </x:c>
      <x:c r="Q52" s="17" t="str"/>
      <x:c r="R52" s="17" t="str">
        <x:v>operational</x:v>
      </x:c>
      <x:c r="S52" s="17" t="str">
        <x:v>operational</x:v>
      </x:c>
      <x:c r="T52" s="17" t="str">
        <x:v>data_center</x:v>
      </x:c>
      <x:c r="U52" s="17" t="str"/>
      <x:c r="V52" s="26" t="str"/>
      <x:c r="W52" s="26" t="str"/>
      <x:c r="X52" s="26" t="str"/>
      <x:c r="Y52" s="26" t="str"/>
      <x:c r="Z52" s="17" t="str"/>
      <x:c r="AA52" s="17" t="str"/>
      <x:c r="AB52" s="17" t="str"/>
      <x:c r="AC52" s="35" t="str"/>
      <x:c r="AD52" s="17" t="str"/>
      <x:c r="AE52" s="17" t="str"/>
      <x:c r="AF52" s="17" t="str"/>
      <x:c r="AG52" s="17" t="str"/>
      <x:c r="AH52" s="17" t="str"/>
      <x:c r="AI52" s="17" t="str">
        <x:v>2026-07-23</x:v>
      </x:c>
      <x:c r="AJ52" s="23" t="str">
        <x:v>https://www.arcgis.com/home/item.html?id=597555ce8e4a4892a030784a7c657fdd | https://www.flexential.com/data-centers/tn/nashville/franklin-data-center | https://www.openstreetmap.org/way/942604537</x:v>
      </x:c>
      <x:c r="AK52" s="23" t="str">
        <x:v>https://www.compute-atlas.com/api/facilities?state=TN</x:v>
      </x:c>
      <x:c r="AL52" s="23" t="str">
        <x:v>https://www.compute-atlas.com/api/facilities?state=TN</x:v>
      </x:c>
      <x:c r="AM52" s="23" t="str">
        <x:v>[]</x:v>
      </x:c>
      <x:c r="AN52" s="17" t="str">
        <x:v>core_data_center</x:v>
      </x:c>
      <x:c r="AO52" s="77" t="b">
        <x:v>1</x:v>
      </x:c>
      <x:c r="AP52" s="23" t="str">
        <x:v>flexential</x:v>
      </x:c>
      <x:c r="AQ52" s="17" t="str">
        <x:v>flexential nashville franklin</x:v>
      </x:c>
      <x:c r="AR52" s="18" t="str">
        <x:v>4600 carothers pkwy</x:v>
      </x:c>
    </x:row>
    <x:row r="53" ht="28" hidden="0" customHeight="1">
      <x:c r="A53" s="16" t="str">
        <x:v>compute_atlas</x:v>
      </x:c>
      <x:c r="B53" s="23" t="str">
        <x:v>google-montgomery-county-tn</x:v>
      </x:c>
      <x:c r="C53" s="23" t="str">
        <x:v>Google Montgomery County Data Center</x:v>
      </x:c>
      <x:c r="D53" s="17" t="str"/>
      <x:c r="E53" s="23" t="str">
        <x:v>Google</x:v>
      </x:c>
      <x:c r="F53" s="17" t="str"/>
      <x:c r="G53" s="23" t="str"/>
      <x:c r="H53" s="17" t="str"/>
      <x:c r="I53" s="17" t="str">
        <x:v>Clarksville</x:v>
      </x:c>
      <x:c r="J53" s="26" t="str">
        <x:v>Montgomery</x:v>
      </x:c>
      <x:c r="K53" s="17" t="str">
        <x:v>TN</x:v>
      </x:c>
      <x:c r="L53" s="17" t="str"/>
      <x:c r="M53" s="29" t="n">
        <x:v>36.5288</x:v>
      </x:c>
      <x:c r="N53" s="29" t="n">
        <x:v>-87.3636</x:v>
      </x:c>
      <x:c r="O53" s="17" t="str">
        <x:v>exact</x:v>
      </x:c>
      <x:c r="P53" s="17" t="str">
        <x:v>confirmed</x:v>
      </x:c>
      <x:c r="Q53" s="17" t="str"/>
      <x:c r="R53" s="17" t="str">
        <x:v>operational</x:v>
      </x:c>
      <x:c r="S53" s="17" t="str">
        <x:v>operational</x:v>
      </x:c>
      <x:c r="T53" s="17" t="str">
        <x:v>data_center</x:v>
      </x:c>
      <x:c r="U53" s="17" t="str"/>
      <x:c r="V53" s="26" t="str"/>
      <x:c r="W53" s="26" t="str"/>
      <x:c r="X53" s="26" t="str"/>
      <x:c r="Y53" s="26" t="str"/>
      <x:c r="Z53" s="17" t="str"/>
      <x:c r="AA53" s="17" t="str"/>
      <x:c r="AB53" s="17" t="str"/>
      <x:c r="AC53" s="35" t="str">
        <x:v>600000000</x:v>
      </x:c>
      <x:c r="AD53" s="17" t="str"/>
      <x:c r="AE53" s="17" t="str"/>
      <x:c r="AF53" s="17" t="str"/>
      <x:c r="AG53" s="17" t="str"/>
      <x:c r="AH53" s="17" t="str"/>
      <x:c r="AI53" s="17" t="str">
        <x:v>2026-07-06</x:v>
      </x:c>
      <x:c r="AJ53" s="23" t="str">
        <x:v>https://clarksvillenow.com/local/google-officially-opens-clarksville-montgomery-county-data-center/ | https://datacenters.google/locations/montgomery-county-tennessee/ | https://tnecd.com/news/governor-haslam-commissioner-boyd-announce-google-to-locate-new-data-center-in-clarksville/</x:v>
      </x:c>
      <x:c r="AK53" s="23" t="str">
        <x:v>https://www.compute-atlas.com/api/facilities?state=TN</x:v>
      </x:c>
      <x:c r="AL53" s="23" t="str">
        <x:v>https://www.compute-atlas.com/api/facilities?state=TN</x:v>
      </x:c>
      <x:c r="AM53" s="23" t="str">
        <x:v>[{"date": "2015", "note": "Governor Haslam and TNECD announce Google to locate new data center in Clarksville, December 22, 2015", "status": "proposed", "sourceIndex": 0}, {"date": "2018", "note": "Google CEO Sundar Pichai breaks ground on former Hemlock Semiconductor site on Boolean Dr, February 2018", "status": "under_construction"}, {"date": "2019", "note": "Google officially opens $600M Montgomery County data center; ribbon-cutting ceremony November 6, 2019", "status": "operational", "sourceIndex": 1}]</x:v>
      </x:c>
      <x:c r="AN53" s="17" t="str">
        <x:v>core_data_center</x:v>
      </x:c>
      <x:c r="AO53" s="77" t="b">
        <x:v>1</x:v>
      </x:c>
      <x:c r="AP53" s="23" t="str">
        <x:v>google</x:v>
      </x:c>
      <x:c r="AQ53" s="17" t="str">
        <x:v>google montgomery county data center</x:v>
      </x:c>
      <x:c r="AR53" s="18" t="str"/>
    </x:row>
    <x:row r="54" ht="28" hidden="0" customHeight="1">
      <x:c r="A54" s="16" t="str">
        <x:v>compute_atlas</x:v>
      </x:c>
      <x:c r="B54" s="23" t="str">
        <x:v>hixson-bloom-fuel-cells-mcminnville-tn</x:v>
      </x:c>
      <x:c r="C54" s="23" t="str">
        <x:v>Hixson Data Center On-Site Fuel Cell Plant (McMinnville)</x:v>
      </x:c>
      <x:c r="D54" s="17" t="str"/>
      <x:c r="E54" s="23" t="str">
        <x:v>Hixson Data Center</x:v>
      </x:c>
      <x:c r="F54" s="17" t="str"/>
      <x:c r="G54" s="23" t="str"/>
      <x:c r="H54" s="17" t="str"/>
      <x:c r="I54" s="17" t="str">
        <x:v>McMinnville</x:v>
      </x:c>
      <x:c r="J54" s="26" t="str">
        <x:v>Warren</x:v>
      </x:c>
      <x:c r="K54" s="17" t="str">
        <x:v>TN</x:v>
      </x:c>
      <x:c r="L54" s="17" t="str"/>
      <x:c r="M54" s="29" t="n">
        <x:v>35.6834</x:v>
      </x:c>
      <x:c r="N54" s="29" t="n">
        <x:v>-85.76998</x:v>
      </x:c>
      <x:c r="O54" s="17" t="str">
        <x:v>approximate</x:v>
      </x:c>
      <x:c r="P54" s="17" t="str">
        <x:v>confirmed</x:v>
      </x:c>
      <x:c r="Q54" s="17" t="str"/>
      <x:c r="R54" s="17" t="str">
        <x:v>proposed</x:v>
      </x:c>
      <x:c r="S54" s="17" t="str">
        <x:v>proposed</x:v>
      </x:c>
      <x:c r="T54" s="17" t="str">
        <x:v>power_generation</x:v>
      </x:c>
      <x:c r="U54" s="17" t="str"/>
      <x:c r="V54" s="26" t="str"/>
      <x:c r="W54" s="26" t="str"/>
      <x:c r="X54" s="26" t="str"/>
      <x:c r="Y54" s="26" t="str"/>
      <x:c r="Z54" s="17" t="str"/>
      <x:c r="AA54" s="17" t="str"/>
      <x:c r="AB54" s="17" t="str"/>
      <x:c r="AC54" s="35" t="str"/>
      <x:c r="AD54" s="17" t="str"/>
      <x:c r="AE54" s="17" t="str"/>
      <x:c r="AF54" s="17" t="str"/>
      <x:c r="AG54" s="17" t="str"/>
      <x:c r="AH54" s="17" t="str"/>
      <x:c r="AI54" s="17" t="str">
        <x:v>2026-08-19</x:v>
      </x:c>
      <x:c r="AJ54" s="23" t="str">
        <x:v>https://baxtel.com/news/25mw-ai-data-center-planned-for-mcminnville | https://www.wsmv.com/2026/06/01/amid-plans-new-high-density-ai-data-center-campus-middle-tennessee-city-locals-push-moratorium-such-facilities/ | https://www.wsmv.com/2026/06/03/mcminnville-approves-18-month-moratorium-new-data-centers-creating-requirements-numerous-impact-studies/</x:v>
      </x:c>
      <x:c r="AK54" s="23" t="str">
        <x:v>https://www.compute-atlas.com/api/facilities?state=TN</x:v>
      </x:c>
      <x:c r="AL54" s="23" t="str">
        <x:v>https://www.compute-atlas.com/api/facilities?state=TN</x:v>
      </x:c>
      <x:c r="AM54" s="23" t="str">
        <x:v>[]</x:v>
      </x:c>
      <x:c r="AN54" s="17" t="str">
        <x:v>support_infrastructure</x:v>
      </x:c>
      <x:c r="AO54" s="77" t="b">
        <x:v>0</x:v>
      </x:c>
      <x:c r="AP54" s="23" t="str">
        <x:v>hixson data center</x:v>
      </x:c>
      <x:c r="AQ54" s="17" t="str">
        <x:v>hixson data center on site fuel cell plant mcminnville</x:v>
      </x:c>
      <x:c r="AR54" s="18" t="str"/>
    </x:row>
    <x:row r="55" ht="28" hidden="0" customHeight="1">
      <x:c r="A55" s="16" t="str">
        <x:v>compute_atlas</x:v>
      </x:c>
      <x:c r="B55" s="23" t="str">
        <x:v>hixson-data-center-mcminnville-tn</x:v>
      </x:c>
      <x:c r="C55" s="23" t="str">
        <x:v>Hixson Data Center (McMinnville)</x:v>
      </x:c>
      <x:c r="D55" s="17" t="str"/>
      <x:c r="E55" s="23" t="str">
        <x:v>Hixson Data Center</x:v>
      </x:c>
      <x:c r="F55" s="17" t="str"/>
      <x:c r="G55" s="23" t="str"/>
      <x:c r="H55" s="17" t="str"/>
      <x:c r="I55" s="17" t="str">
        <x:v>McMinnville</x:v>
      </x:c>
      <x:c r="J55" s="26" t="str">
        <x:v>Warren</x:v>
      </x:c>
      <x:c r="K55" s="17" t="str">
        <x:v>TN</x:v>
      </x:c>
      <x:c r="L55" s="17" t="str"/>
      <x:c r="M55" s="29" t="n">
        <x:v>35.6834</x:v>
      </x:c>
      <x:c r="N55" s="29" t="n">
        <x:v>-85.76998</x:v>
      </x:c>
      <x:c r="O55" s="17" t="str">
        <x:v>approximate</x:v>
      </x:c>
      <x:c r="P55" s="17" t="str">
        <x:v>confirmed</x:v>
      </x:c>
      <x:c r="Q55" s="17" t="str"/>
      <x:c r="R55" s="17" t="str">
        <x:v>proposed</x:v>
      </x:c>
      <x:c r="S55" s="17" t="str">
        <x:v>proposed</x:v>
      </x:c>
      <x:c r="T55" s="17" t="str">
        <x:v>data_center</x:v>
      </x:c>
      <x:c r="U55" s="17" t="str"/>
      <x:c r="V55" s="26" t="str"/>
      <x:c r="W55" s="26" t="str"/>
      <x:c r="X55" s="26" t="str"/>
      <x:c r="Y55" s="26" t="str"/>
      <x:c r="Z55" s="17" t="str"/>
      <x:c r="AA55" s="17" t="str"/>
      <x:c r="AB55" s="17" t="str"/>
      <x:c r="AC55" s="35" t="str"/>
      <x:c r="AD55" s="17" t="str"/>
      <x:c r="AE55" s="17" t="str"/>
      <x:c r="AF55" s="17" t="str"/>
      <x:c r="AG55" s="17" t="str"/>
      <x:c r="AH55" s="17" t="str"/>
      <x:c r="AI55" s="17" t="str">
        <x:v>2026-08-15</x:v>
      </x:c>
      <x:c r="AJ55" s="23" t="str">
        <x:v>https://baxtel.com/news/25mw-ai-data-center-planned-for-mcminnville | https://www.wsmv.com/2026/06/01/amid-plans-new-high-density-ai-data-center-campus-middle-tennessee-city-locals-push-moratorium-such-facilities/</x:v>
      </x:c>
      <x:c r="AK55" s="23" t="str">
        <x:v>https://www.compute-atlas.com/api/facilities?state=TN</x:v>
      </x:c>
      <x:c r="AL55" s="23" t="str">
        <x:v>https://www.compute-atlas.com/api/facilities?state=TN</x:v>
      </x:c>
      <x:c r="AM55" s="23" t="str">
        <x:v>[]</x:v>
      </x:c>
      <x:c r="AN55" s="17" t="str">
        <x:v>core_data_center</x:v>
      </x:c>
      <x:c r="AO55" s="77" t="b">
        <x:v>1</x:v>
      </x:c>
      <x:c r="AP55" s="23" t="str">
        <x:v>hixson data center</x:v>
      </x:c>
      <x:c r="AQ55" s="17" t="str">
        <x:v>hixson data center mcminnville</x:v>
      </x:c>
      <x:c r="AR55" s="18" t="str"/>
    </x:row>
    <x:row r="56" ht="28" hidden="0" customHeight="1">
      <x:c r="A56" s="16" t="str">
        <x:v>compute_atlas</x:v>
      </x:c>
      <x:c r="B56" s="23" t="str">
        <x:v>jailhouse-studios-chattanooga-tn</x:v>
      </x:c>
      <x:c r="C56" s="23" t="str">
        <x:v>Jailhouse Studios (former Hamilton County Jail)</x:v>
      </x:c>
      <x:c r="D56" s="17" t="str"/>
      <x:c r="E56" s="23" t="str">
        <x:v>Urban Story Ventures</x:v>
      </x:c>
      <x:c r="F56" s="17" t="str"/>
      <x:c r="G56" s="23" t="str"/>
      <x:c r="H56" s="17" t="str"/>
      <x:c r="I56" s="17" t="str">
        <x:v>Chattanooga</x:v>
      </x:c>
      <x:c r="J56" s="26" t="str">
        <x:v>Hamilton</x:v>
      </x:c>
      <x:c r="K56" s="17" t="str">
        <x:v>TN</x:v>
      </x:c>
      <x:c r="L56" s="17" t="str"/>
      <x:c r="M56" s="29" t="n">
        <x:v>35.04572</x:v>
      </x:c>
      <x:c r="N56" s="29" t="n">
        <x:v>-85.30949</x:v>
      </x:c>
      <x:c r="O56" s="17" t="str">
        <x:v>approximate</x:v>
      </x:c>
      <x:c r="P56" s="17" t="str">
        <x:v>confirmed</x:v>
      </x:c>
      <x:c r="Q56" s="17" t="str"/>
      <x:c r="R56" s="17" t="str">
        <x:v>proposed</x:v>
      </x:c>
      <x:c r="S56" s="17" t="str">
        <x:v>proposed</x:v>
      </x:c>
      <x:c r="T56" s="17" t="str">
        <x:v>data_center</x:v>
      </x:c>
      <x:c r="U56" s="17" t="str"/>
      <x:c r="V56" s="26" t="str"/>
      <x:c r="W56" s="26" t="str"/>
      <x:c r="X56" s="26" t="str"/>
      <x:c r="Y56" s="26" t="str"/>
      <x:c r="Z56" s="17" t="str"/>
      <x:c r="AA56" s="17" t="str"/>
      <x:c r="AB56" s="17" t="str"/>
      <x:c r="AC56" s="35" t="str"/>
      <x:c r="AD56" s="17" t="str"/>
      <x:c r="AE56" s="17" t="str"/>
      <x:c r="AF56" s="17" t="str"/>
      <x:c r="AG56" s="17" t="str"/>
      <x:c r="AH56" s="17" t="str"/>
      <x:c r="AI56" s="17" t="str">
        <x:v>2026-08-15</x:v>
      </x:c>
      <x:c r="AJ56" s="23" t="str">
        <x:v>https://newschannel9.com/news/local/residents-rally-against-proposed-ai-data-center-inside-old-hamilton-county-jail | https://urbanstoryventures.com/citys-new-jailhouse-studios-the-worlds-first-quantum-ready-sovereign-data-processing-and-ai-center-with-an-integrated-creator-campus/</x:v>
      </x:c>
      <x:c r="AK56" s="23" t="str">
        <x:v>https://www.compute-atlas.com/api/facilities?state=TN</x:v>
      </x:c>
      <x:c r="AL56" s="23" t="str">
        <x:v>https://www.compute-atlas.com/api/facilities?state=TN</x:v>
      </x:c>
      <x:c r="AM56" s="23" t="str">
        <x:v>[]</x:v>
      </x:c>
      <x:c r="AN56" s="17" t="str">
        <x:v>core_data_center</x:v>
      </x:c>
      <x:c r="AO56" s="77" t="b">
        <x:v>1</x:v>
      </x:c>
      <x:c r="AP56" s="23" t="str">
        <x:v>urban story ventures</x:v>
      </x:c>
      <x:c r="AQ56" s="17" t="str">
        <x:v>jailhouse studios former hamilton county jail</x:v>
      </x:c>
      <x:c r="AR56" s="18" t="str"/>
    </x:row>
    <x:row r="57" ht="28" hidden="0" customHeight="1">
      <x:c r="A57" s="16" t="str">
        <x:v>compute_atlas</x:v>
      </x:c>
      <x:c r="B57" s="23" t="str">
        <x:v>kairos-hermes-2-oak-ridge-tn</x:v>
      </x:c>
      <x:c r="C57" s="23" t="str">
        <x:v>Kairos Power Hermes 2</x:v>
      </x:c>
      <x:c r="D57" s="17" t="str"/>
      <x:c r="E57" s="23" t="str">
        <x:v>Kairos Power</x:v>
      </x:c>
      <x:c r="F57" s="17" t="str"/>
      <x:c r="G57" s="23" t="str"/>
      <x:c r="H57" s="17" t="str"/>
      <x:c r="I57" s="17" t="str">
        <x:v>Oak Ridge</x:v>
      </x:c>
      <x:c r="J57" s="26" t="str">
        <x:v>Roane</x:v>
      </x:c>
      <x:c r="K57" s="17" t="str">
        <x:v>TN</x:v>
      </x:c>
      <x:c r="L57" s="17" t="str"/>
      <x:c r="M57" s="29" t="n">
        <x:v>35.92</x:v>
      </x:c>
      <x:c r="N57" s="29" t="n">
        <x:v>-84.39</x:v>
      </x:c>
      <x:c r="O57" s="17" t="str">
        <x:v>approximate</x:v>
      </x:c>
      <x:c r="P57" s="17" t="str">
        <x:v>confirmed</x:v>
      </x:c>
      <x:c r="Q57" s="17" t="str"/>
      <x:c r="R57" s="17" t="str">
        <x:v>under_construction</x:v>
      </x:c>
      <x:c r="S57" s="17" t="str">
        <x:v>under_construction</x:v>
      </x:c>
      <x:c r="T57" s="17" t="str">
        <x:v>power_generation</x:v>
      </x:c>
      <x:c r="U57" s="17" t="str"/>
      <x:c r="V57" s="26" t="str"/>
      <x:c r="W57" s="26" t="str"/>
      <x:c r="X57" s="26" t="str"/>
      <x:c r="Y57" s="26" t="str"/>
      <x:c r="Z57" s="17" t="str"/>
      <x:c r="AA57" s="17" t="str"/>
      <x:c r="AB57" s="17" t="str"/>
      <x:c r="AC57" s="35" t="str"/>
      <x:c r="AD57" s="17" t="str"/>
      <x:c r="AE57" s="17" t="str"/>
      <x:c r="AF57" s="17" t="str"/>
      <x:c r="AG57" s="17" t="str"/>
      <x:c r="AH57" s="17" t="str"/>
      <x:c r="AI57" s="17" t="str">
        <x:v>2026-07-11</x:v>
      </x:c>
      <x:c r="AJ57" s="23" t="str">
        <x:v>https://blog.google/company-news/outreach-and-initiatives/sustainability/google-kairos-power-nuclear-energy-agreement/ | https://www.ans.org/news/2026-04-21/article-7964/kairos-power-breaks-ground-on-first-powerproducing-reactor-in-oak-ridge/ | https://www.federalregister.gov/documents/2023/11/22/2023-25818/kairos-power-llc-hermes-2 | https://www.federalregister.gov/documents/2024/04/26/2024-08964/kairos-power-llc-hermes-2-draft-environmental-assessment-and-draft-finding-of-no-significant-impact | https://www.federalregister.gov/documents/2024/09/05/2024-19914/kairos-power-llc-hermes-2-environmental-assessment-finding-of-no-significant-impact-and-exemptions | https://www.federalregister.gov/documents/2024/11/29/2024-28025/kairos-power-llc-hermes-2-test-reactor-facility-construction-permits | https://www.kairospower.com/updates/google-and-kairos-power-partner-to-deploy-500-mw-of-clean-electricity-generation | https://www.kairospower.com/updates/kairos-power-breaks-ground-on-hermes-2-demonstration-plant | https://www.nrc.gov/reactors/non-power/new-facility-licensing/hermes2-kairos | https://www.world-nuclear-news.org/articles/google-kairos-power-tva-announce-collaboration</x:v>
      </x:c>
      <x:c r="AK57" s="23" t="str">
        <x:v>https://www.compute-atlas.com/api/facilities?state=TN</x:v>
      </x:c>
      <x:c r="AL57" s="23" t="str">
        <x:v>https://www.compute-atlas.com/api/facilities?state=TN</x:v>
      </x:c>
      <x:c r="AM57" s="23" t="str">
        <x:v>[{"date": "2024-11-21", "note": "NRC issues Hermes 2 construction permit (first Gen IV power-reactor construction permit; Docket Nos. 50-611 and 50-612)", "status": "permitted", "sourceIndex": 1}, {"date": "2026-04-17", "note": "Kairos Power breaks ground on Hermes 2 at the Heritage Center/K-33 site", "status": "under_construction", "sourceIndex": 5}]</x:v>
      </x:c>
      <x:c r="AN57" s="17" t="str">
        <x:v>support_infrastructure</x:v>
      </x:c>
      <x:c r="AO57" s="77" t="b">
        <x:v>0</x:v>
      </x:c>
      <x:c r="AP57" s="23" t="str">
        <x:v>kairos power</x:v>
      </x:c>
      <x:c r="AQ57" s="17" t="str">
        <x:v>kairos power hermes 2</x:v>
      </x:c>
      <x:c r="AR57" s="18" t="str"/>
    </x:row>
    <x:row r="58" ht="28" hidden="0" customHeight="1">
      <x:c r="A58" s="16" t="str">
        <x:v>compute_atlas</x:v>
      </x:c>
      <x:c r="B58" s="23" t="str">
        <x:v>litewire-mcminnville-tn</x:v>
      </x:c>
      <x:c r="C58" s="23" t="str">
        <x:v>Litewire McMinnville (former A.O. Smith Building)</x:v>
      </x:c>
      <x:c r="D58" s="17" t="str"/>
      <x:c r="E58" s="23" t="str">
        <x:v>Litewire</x:v>
      </x:c>
      <x:c r="F58" s="17" t="str"/>
      <x:c r="G58" s="23" t="str"/>
      <x:c r="H58" s="17" t="str"/>
      <x:c r="I58" s="17" t="str">
        <x:v>McMinnville</x:v>
      </x:c>
      <x:c r="J58" s="26" t="str">
        <x:v>Warren</x:v>
      </x:c>
      <x:c r="K58" s="17" t="str">
        <x:v>TN</x:v>
      </x:c>
      <x:c r="L58" s="17" t="str"/>
      <x:c r="M58" s="29" t="n">
        <x:v>35.69221</x:v>
      </x:c>
      <x:c r="N58" s="29" t="n">
        <x:v>-85.7619</x:v>
      </x:c>
      <x:c r="O58" s="17" t="str">
        <x:v>exact</x:v>
      </x:c>
      <x:c r="P58" s="17" t="str">
        <x:v>confirmed</x:v>
      </x:c>
      <x:c r="Q58" s="17" t="str"/>
      <x:c r="R58" s="17" t="str">
        <x:v>operational</x:v>
      </x:c>
      <x:c r="S58" s="17" t="str">
        <x:v>operational</x:v>
      </x:c>
      <x:c r="T58" s="17" t="str">
        <x:v>data_center</x:v>
      </x:c>
      <x:c r="U58" s="17" t="str"/>
      <x:c r="V58" s="26" t="str"/>
      <x:c r="W58" s="26" t="str"/>
      <x:c r="X58" s="26" t="str"/>
      <x:c r="Y58" s="26" t="str"/>
      <x:c r="Z58" s="17" t="str"/>
      <x:c r="AA58" s="17" t="str"/>
      <x:c r="AB58" s="17" t="str"/>
      <x:c r="AC58" s="35" t="str"/>
      <x:c r="AD58" s="17" t="str"/>
      <x:c r="AE58" s="17" t="str"/>
      <x:c r="AF58" s="17" t="str"/>
      <x:c r="AG58" s="17" t="str"/>
      <x:c r="AH58" s="17" t="str"/>
      <x:c r="AI58" s="17" t="str">
        <x:v>2026-08-15</x:v>
      </x:c>
      <x:c r="AJ58" s="23" t="str">
        <x:v>https://tnecd.com/news/litewire-llc-to-open-new-facility-in-warren-county/ | https://www.newschannel5.com/news/how-big-are-middle-tennessees-data-centers-a-look-at-facilities-already-operating</x:v>
      </x:c>
      <x:c r="AK58" s="23" t="str">
        <x:v>https://www.compute-atlas.com/api/facilities?state=TN</x:v>
      </x:c>
      <x:c r="AL58" s="23" t="str">
        <x:v>https://www.compute-atlas.com/api/facilities?state=TN</x:v>
      </x:c>
      <x:c r="AM58" s="23" t="str">
        <x:v>[]</x:v>
      </x:c>
      <x:c r="AN58" s="17" t="str">
        <x:v>core_data_center</x:v>
      </x:c>
      <x:c r="AO58" s="77" t="b">
        <x:v>1</x:v>
      </x:c>
      <x:c r="AP58" s="23" t="str">
        <x:v>litewire</x:v>
      </x:c>
      <x:c r="AQ58" s="17" t="str">
        <x:v>litewire mcminnville former a o smith building</x:v>
      </x:c>
      <x:c r="AR58" s="18" t="str"/>
    </x:row>
    <x:row r="59" ht="28" hidden="0" customHeight="1">
      <x:c r="A59" s="16" t="str">
        <x:v>compute_atlas</x:v>
      </x:c>
      <x:c r="B59" s="23" t="str">
        <x:v>meta-gallatin-tn</x:v>
      </x:c>
      <x:c r="C59" s="23" t="str">
        <x:v>Meta Gallatin Data Center Campus</x:v>
      </x:c>
      <x:c r="D59" s="17" t="str"/>
      <x:c r="E59" s="23" t="str">
        <x:v>Meta</x:v>
      </x:c>
      <x:c r="F59" s="17" t="str"/>
      <x:c r="G59" s="23" t="str"/>
      <x:c r="H59" s="17" t="str"/>
      <x:c r="I59" s="17" t="str">
        <x:v>Gallatin</x:v>
      </x:c>
      <x:c r="J59" s="26" t="str">
        <x:v>Sumner</x:v>
      </x:c>
      <x:c r="K59" s="17" t="str">
        <x:v>TN</x:v>
      </x:c>
      <x:c r="L59" s="17" t="str"/>
      <x:c r="M59" s="29" t="n">
        <x:v>36.3884</x:v>
      </x:c>
      <x:c r="N59" s="29" t="n">
        <x:v>-86.4369</x:v>
      </x:c>
      <x:c r="O59" s="17" t="str">
        <x:v>exact</x:v>
      </x:c>
      <x:c r="P59" s="17" t="str">
        <x:v>confirmed</x:v>
      </x:c>
      <x:c r="Q59" s="17" t="str"/>
      <x:c r="R59" s="17" t="str">
        <x:v>operational</x:v>
      </x:c>
      <x:c r="S59" s="17" t="str">
        <x:v>operational</x:v>
      </x:c>
      <x:c r="T59" s="17" t="str">
        <x:v>data_center</x:v>
      </x:c>
      <x:c r="U59" s="17" t="str"/>
      <x:c r="V59" s="26" t="str"/>
      <x:c r="W59" s="26" t="str"/>
      <x:c r="X59" s="26" t="str"/>
      <x:c r="Y59" s="26" t="str"/>
      <x:c r="Z59" s="17" t="str">
        <x:v>900</x:v>
      </x:c>
      <x:c r="AA59" s="17" t="str"/>
      <x:c r="AB59" s="17" t="str"/>
      <x:c r="AC59" s="35" t="str">
        <x:v>1500000000</x:v>
      </x:c>
      <x:c r="AD59" s="17" t="str"/>
      <x:c r="AE59" s="17" t="str"/>
      <x:c r="AF59" s="17" t="str"/>
      <x:c r="AG59" s="17" t="str"/>
      <x:c r="AH59" s="17" t="str"/>
      <x:c r="AI59" s="17" t="str">
        <x:v>2026-07-25</x:v>
      </x:c>
      <x:c r="AJ59" s="23" t="str">
        <x:v>https://datacenters.atmeta.com/2024/11/gallatin-we-are-online/ | https://ttc.tml1.org/2024/11/15/meta-data-center-begins-operations-gallatin | https://w.media/meta-expands-gallatin-data-center-with-nearly-1b-total-investment/ | https://www.datacenterdynamics.com/en/news/meta-brings-data-centers-in-tents-to-gallatin-tennessee/ | https://www.pascalforgallatin.com/post/why-is-gallatin-giving-woolhawk-a-tax-break-when-they-are-considering-raising-our-property-taxes | https://www.weku.org/amsn/2025-11-25/tennessee-has-60-data-centers-nashville-probably-has-more-than-you-think</x:v>
      </x:c>
      <x:c r="AK59" s="23" t="str">
        <x:v>https://www.compute-atlas.com/api/facilities?state=TN</x:v>
      </x:c>
      <x:c r="AL59" s="23" t="str">
        <x:v>https://www.compute-atlas.com/api/facilities?state=TN</x:v>
      </x:c>
      <x:c r="AM59" s="23" t="str">
        <x:v>[{"date": "2022", "note": "Meta announces Gallatin campus expansion", "status": "proposed"}, {"date": "2024-11", "note": "Campus officially launched November 2024 with six facilities on 900 acres", "status": "operational"}, {"date": "2025-09", "note": "Gallatin Municipal Planning Commission grants permission for 135,000 sq ft tent-based GPU cluster facility; Meta building multi-billion-dollar GPU clusters in rapid deployment structures to accelerate AI capacity", "status": "operational", "sourceIndex": 0}]</x:v>
      </x:c>
      <x:c r="AN59" s="17" t="str">
        <x:v>core_data_center</x:v>
      </x:c>
      <x:c r="AO59" s="77" t="b">
        <x:v>1</x:v>
      </x:c>
      <x:c r="AP59" s="23" t="str">
        <x:v>meta</x:v>
      </x:c>
      <x:c r="AQ59" s="17" t="str">
        <x:v>meta gallatin data center campus</x:v>
      </x:c>
      <x:c r="AR59" s="18" t="str"/>
    </x:row>
    <x:row r="60" ht="28" hidden="0" customHeight="1">
      <x:c r="A60" s="16" t="str">
        <x:v>compute_atlas</x:v>
      </x:c>
      <x:c r="B60" s="23" t="str">
        <x:v>radiusdc-nashville-i-tn</x:v>
      </x:c>
      <x:c r="C60" s="23" t="str">
        <x:v>RadiusDC Nashville I</x:v>
      </x:c>
      <x:c r="D60" s="17" t="str"/>
      <x:c r="E60" s="23" t="str">
        <x:v>RadiusDC</x:v>
      </x:c>
      <x:c r="F60" s="17" t="str"/>
      <x:c r="G60" s="23" t="str"/>
      <x:c r="H60" s="17" t="str"/>
      <x:c r="I60" s="17" t="str">
        <x:v>Nashville</x:v>
      </x:c>
      <x:c r="J60" s="26" t="str">
        <x:v>Davidson</x:v>
      </x:c>
      <x:c r="K60" s="17" t="str">
        <x:v>TN</x:v>
      </x:c>
      <x:c r="L60" s="17" t="str"/>
      <x:c r="M60" s="29" t="n">
        <x:v>36.27987</x:v>
      </x:c>
      <x:c r="N60" s="29" t="n">
        <x:v>-86.7837</x:v>
      </x:c>
      <x:c r="O60" s="17" t="str">
        <x:v>approximate</x:v>
      </x:c>
      <x:c r="P60" s="17" t="str">
        <x:v>confirmed</x:v>
      </x:c>
      <x:c r="Q60" s="17" t="str"/>
      <x:c r="R60" s="17" t="str">
        <x:v>under_construction</x:v>
      </x:c>
      <x:c r="S60" s="17" t="str">
        <x:v>under_construction</x:v>
      </x:c>
      <x:c r="T60" s="17" t="str">
        <x:v>data_center</x:v>
      </x:c>
      <x:c r="U60" s="17" t="str"/>
      <x:c r="V60" s="26" t="str"/>
      <x:c r="W60" s="26" t="str"/>
      <x:c r="X60" s="26" t="str"/>
      <x:c r="Y60" s="26" t="str"/>
      <x:c r="Z60" s="17" t="str">
        <x:v>12</x:v>
      </x:c>
      <x:c r="AA60" s="17" t="str"/>
      <x:c r="AB60" s="17" t="str"/>
      <x:c r="AC60" s="35" t="str"/>
      <x:c r="AD60" s="17" t="str"/>
      <x:c r="AE60" s="17" t="str"/>
      <x:c r="AF60" s="17" t="str"/>
      <x:c r="AG60" s="17" t="str"/>
      <x:c r="AH60" s="17" t="str"/>
      <x:c r="AI60" s="17" t="str">
        <x:v>2026-08-15</x:v>
      </x:c>
      <x:c r="AJ60" s="23" t="str">
        <x:v>https://www.radius-dc.com/newsroom-and-events/radiusdc-breaks-ground-on-largest-data-center-in-nashville | https://www.yahoo.com/news/us/articles/guide-data-centers-tennessee-could-081728521.html</x:v>
      </x:c>
      <x:c r="AK60" s="23" t="str">
        <x:v>https://www.compute-atlas.com/api/facilities?state=TN</x:v>
      </x:c>
      <x:c r="AL60" s="23" t="str">
        <x:v>https://www.compute-atlas.com/api/facilities?state=TN</x:v>
      </x:c>
      <x:c r="AM60" s="23" t="str">
        <x:v>[]</x:v>
      </x:c>
      <x:c r="AN60" s="17" t="str">
        <x:v>core_data_center</x:v>
      </x:c>
      <x:c r="AO60" s="77" t="b">
        <x:v>1</x:v>
      </x:c>
      <x:c r="AP60" s="23" t="str">
        <x:v>radiusdc</x:v>
      </x:c>
      <x:c r="AQ60" s="17" t="str">
        <x:v>radiusdc nashville i</x:v>
      </x:c>
      <x:c r="AR60" s="18" t="str"/>
    </x:row>
    <x:row r="61" ht="28" hidden="0" customHeight="1">
      <x:c r="A61" s="16" t="str">
        <x:v>compute_atlas</x:v>
      </x:c>
      <x:c r="B61" s="23" t="str">
        <x:v>tierpoint-nashville-tn</x:v>
      </x:c>
      <x:c r="C61" s="23" t="str">
        <x:v>TierPoint Nashville</x:v>
      </x:c>
      <x:c r="D61" s="17" t="str"/>
      <x:c r="E61" s="23" t="str">
        <x:v>TierPoint</x:v>
      </x:c>
      <x:c r="F61" s="17" t="str"/>
      <x:c r="G61" s="23" t="str"/>
      <x:c r="H61" s="17" t="str"/>
      <x:c r="I61" s="17" t="str">
        <x:v>Franklin</x:v>
      </x:c>
      <x:c r="J61" s="26" t="str">
        <x:v>Williamson</x:v>
      </x:c>
      <x:c r="K61" s="17" t="str">
        <x:v>TN</x:v>
      </x:c>
      <x:c r="L61" s="17" t="str"/>
      <x:c r="M61" s="29" t="n">
        <x:v>35.9245097</x:v>
      </x:c>
      <x:c r="N61" s="29" t="n">
        <x:v>-86.8556872</x:v>
      </x:c>
      <x:c r="O61" s="17" t="str">
        <x:v>exact</x:v>
      </x:c>
      <x:c r="P61" s="17" t="str">
        <x:v>reported</x:v>
      </x:c>
      <x:c r="Q61" s="17" t="str"/>
      <x:c r="R61" s="17" t="str">
        <x:v>operational</x:v>
      </x:c>
      <x:c r="S61" s="17" t="str">
        <x:v>operational</x:v>
      </x:c>
      <x:c r="T61" s="17" t="str">
        <x:v>data_center</x:v>
      </x:c>
      <x:c r="U61" s="17" t="str"/>
      <x:c r="V61" s="26" t="str"/>
      <x:c r="W61" s="26" t="str"/>
      <x:c r="X61" s="26" t="str"/>
      <x:c r="Y61" s="26" t="str"/>
      <x:c r="Z61" s="17" t="str"/>
      <x:c r="AA61" s="17" t="str"/>
      <x:c r="AB61" s="17" t="str"/>
      <x:c r="AC61" s="35" t="str"/>
      <x:c r="AD61" s="17" t="str"/>
      <x:c r="AE61" s="17" t="str"/>
      <x:c r="AF61" s="17" t="str"/>
      <x:c r="AG61" s="17" t="str"/>
      <x:c r="AH61" s="17" t="str"/>
      <x:c r="AI61" s="17" t="str">
        <x:v>2026-07-23</x:v>
      </x:c>
      <x:c r="AJ61" s="23" t="str">
        <x:v>https://www.arcgis.com/home/item.html?id=597555ce8e4a4892a030784a7c657fdd | https://www.openstreetmap.org/way/819981908 | https://www.tierpoint.com/data-centers/tennessee/nashville/</x:v>
      </x:c>
      <x:c r="AK61" s="23" t="str">
        <x:v>https://www.compute-atlas.com/api/facilities?state=TN</x:v>
      </x:c>
      <x:c r="AL61" s="23" t="str">
        <x:v>https://www.compute-atlas.com/api/facilities?state=TN</x:v>
      </x:c>
      <x:c r="AM61" s="23" t="str">
        <x:v>[]</x:v>
      </x:c>
      <x:c r="AN61" s="17" t="str">
        <x:v>core_data_center</x:v>
      </x:c>
      <x:c r="AO61" s="77" t="b">
        <x:v>1</x:v>
      </x:c>
      <x:c r="AP61" s="23" t="str">
        <x:v>tierpoint</x:v>
      </x:c>
      <x:c r="AQ61" s="17" t="str">
        <x:v>tierpoint nashville</x:v>
      </x:c>
      <x:c r="AR61" s="18" t="str"/>
    </x:row>
    <x:row r="62" ht="28" hidden="0" customHeight="1">
      <x:c r="A62" s="19" t="str">
        <x:v>compute_atlas</x:v>
      </x:c>
      <x:c r="B62" s="24" t="str">
        <x:v>xai-colossus-memphis-tn</x:v>
      </x:c>
      <x:c r="C62" s="24" t="str">
        <x:v>Colossus</x:v>
      </x:c>
      <x:c r="D62" s="20" t="str"/>
      <x:c r="E62" s="24" t="str">
        <x:v>xAI</x:v>
      </x:c>
      <x:c r="F62" s="20" t="str"/>
      <x:c r="G62" s="24" t="str"/>
      <x:c r="H62" s="20" t="str"/>
      <x:c r="I62" s="20" t="str">
        <x:v>Memphis</x:v>
      </x:c>
      <x:c r="J62" s="27" t="str">
        <x:v>Shelby</x:v>
      </x:c>
      <x:c r="K62" s="20" t="str">
        <x:v>TN</x:v>
      </x:c>
      <x:c r="L62" s="20" t="str"/>
      <x:c r="M62" s="30" t="n">
        <x:v>35.0565</x:v>
      </x:c>
      <x:c r="N62" s="30" t="n">
        <x:v>-90.0148</x:v>
      </x:c>
      <x:c r="O62" s="20" t="str">
        <x:v>exact</x:v>
      </x:c>
      <x:c r="P62" s="20" t="str">
        <x:v>reported</x:v>
      </x:c>
      <x:c r="Q62" s="20" t="str"/>
      <x:c r="R62" s="20" t="str">
        <x:v>operational</x:v>
      </x:c>
      <x:c r="S62" s="20" t="str">
        <x:v>operational</x:v>
      </x:c>
      <x:c r="T62" s="20" t="str">
        <x:v>data_center</x:v>
      </x:c>
      <x:c r="U62" s="20" t="str"/>
      <x:c r="V62" s="27" t="str"/>
      <x:c r="W62" s="27" t="str"/>
      <x:c r="X62" s="27" t="str"/>
      <x:c r="Y62" s="27" t="str"/>
      <x:c r="Z62" s="20" t="str"/>
      <x:c r="AA62" s="20" t="str"/>
      <x:c r="AB62" s="20" t="str"/>
      <x:c r="AC62" s="36" t="str"/>
      <x:c r="AD62" s="20" t="str"/>
      <x:c r="AE62" s="20" t="str"/>
      <x:c r="AF62" s="20" t="str"/>
      <x:c r="AG62" s="20" t="str"/>
      <x:c r="AH62" s="20" t="str"/>
      <x:c r="AI62" s="20" t="str">
        <x:v>2026-08-26</x:v>
      </x:c>
      <x:c r="AJ62" s="24" t="str">
        <x:v>https://en.wikipedia.org/wiki/Colossus_(supercomputer) | https://www.cnbc.com/2025/07/16/musks-xai-permits-challenged-by-naacp-environmental-groups-memphis.html | https://www.datacenterdynamics.com/en/news/xai-doubles-number-of-onsite-gas-turbines-at-memphis-data-center-in-violation-of-permit-limits/ | https://www.governing.com/resilience/wastewater-will-cool-this-memphis-data-center | https://www.reuters.com/technology/artificial-intelligence/musk-says-xai-has-built-worlds-most-powerful-ai-training-cluster-2024-09-24/</x:v>
      </x:c>
      <x:c r="AK62" s="24" t="str">
        <x:v>https://www.compute-atlas.com/api/facilities?state=TN</x:v>
      </x:c>
      <x:c r="AL62" s="24" t="str">
        <x:v>https://www.compute-atlas.com/api/facilities?state=TN</x:v>
      </x:c>
      <x:c r="AM62" s="24" t="str">
        <x:v>[{"date": "2024-06", "note": "Construction began; completed in approximately 122 days", "status": "under_construction", "sourceIndex": 0}, {"date": "2024-09", "note": "Phase 1 online with ~100,000 NVIDIA H100 GPUs; later expanded with H200s", "status": "operational", "sourceIndex": 1}]</x:v>
      </x:c>
      <x:c r="AN62" s="20" t="str">
        <x:v>core_data_center</x:v>
      </x:c>
      <x:c r="AO62" s="78" t="b">
        <x:v>1</x:v>
      </x:c>
      <x:c r="AP62" s="24" t="str">
        <x:v>xai</x:v>
      </x:c>
      <x:c r="AQ62" s="20" t="str">
        <x:v>colossus</x:v>
      </x:c>
      <x:c r="AR62" s="21" t="str"/>
    </x:row>
    <x:row r="63">
      <x:c r="A63" s="85" t="str">
        <x:v>scipio_official</x:v>
      </x:c>
      <x:c r="B63" s="85" t="str">
        <x:v>scipio:chattanooga</x:v>
      </x:c>
      <x:c r="C63" s="85" t="str">
        <x:v>Scipio Technologies Chattanooga</x:v>
      </x:c>
      <x:c r="D63" s="85"/>
      <x:c r="E63" s="85" t="str">
        <x:v>Scipio Technologies</x:v>
      </x:c>
      <x:c r="F63" s="85"/>
      <x:c r="G63" s="85" t="str">
        <x:v>1100 E 11th Street</x:v>
      </x:c>
      <x:c r="H63" s="85"/>
      <x:c r="I63" s="85" t="str">
        <x:v>Chattanooga</x:v>
      </x:c>
      <x:c r="J63" s="85" t="str">
        <x:v>Hamilton</x:v>
      </x:c>
      <x:c r="K63" s="85" t="str">
        <x:v>TN</x:v>
      </x:c>
      <x:c r="L63" s="85" t="str">
        <x:v>37403</x:v>
      </x:c>
      <x:c r="M63" s="85"/>
      <x:c r="N63" s="85"/>
      <x:c r="O63" s="85" t="str">
        <x:v>address_or_site</x:v>
      </x:c>
      <x:c r="P63" s="85" t="str">
        <x:v>high</x:v>
      </x:c>
      <x:c r="Q63" s="85" t="str">
        <x:v>Public verification source; Master coordinate retained rather than inferred.</x:v>
      </x:c>
      <x:c r="R63" s="85" t="str">
        <x:v>operational</x:v>
      </x:c>
      <x:c r="S63" s="85" t="str">
        <x:v>operational</x:v>
      </x:c>
      <x:c r="T63" s="85" t="str">
        <x:v>interconnection_facility</x:v>
      </x:c>
      <x:c r="U63" s="85"/>
      <x:c r="V63" s="85"/>
      <x:c r="W63" s="85"/>
      <x:c r="X63" s="85"/>
      <x:c r="Y63" s="85"/>
      <x:c r="Z63" s="85"/>
      <x:c r="AA63" s="85"/>
      <x:c r="AB63" s="85"/>
      <x:c r="AC63" s="85"/>
      <x:c r="AD63" s="85"/>
      <x:c r="AE63" s="85"/>
      <x:c r="AF63" s="85"/>
      <x:c r="AG63" s="85"/>
      <x:c r="AH63" s="85"/>
      <x:c r="AI63" s="85" t="str">
        <x:v>2026-09-03</x:v>
      </x:c>
      <x:c r="AJ63" s="85" t="str">
        <x:v>https://scipiotech.com/support/</x:v>
      </x:c>
      <x:c r="AK63" s="85"/>
      <x:c r="AL63" s="85" t="str">
        <x:v>https://scipiotech.com/support/</x:v>
      </x:c>
      <x:c r="AM63" s="85" t="str">
        <x:v>Official Scipio location; legacy Peace Communications rebranded to Scipio.</x:v>
      </x:c>
      <x:c r="AN63" s="85" t="str">
        <x:v>core_data_center</x:v>
      </x:c>
      <x:c r="AO63" s="86" t="b">
        <x:v>1</x:v>
      </x:c>
      <x:c r="AP63" s="85" t="str">
        <x:v>Scipio Technologies</x:v>
      </x:c>
      <x:c r="AQ63" s="85" t="str">
        <x:v>scipio technologies chattanooga</x:v>
      </x:c>
      <x:c r="AR63" s="85" t="str">
        <x:v>1100 e 11th street</x:v>
      </x:c>
    </x:row>
    <x:row r="64">
      <x:c r="A64" s="85" t="str">
        <x:v>colomap</x:v>
      </x:c>
      <x:c r="B64" s="85" t="str">
        <x:v>colomap:collierville-enterprise</x:v>
      </x:c>
      <x:c r="C64" s="85" t="str">
        <x:v>Collierville Enterprise Data Center</x:v>
      </x:c>
      <x:c r="D64" s="85"/>
      <x:c r="E64" s="85" t="str">
        <x:v>Aphorio Carter</x:v>
      </x:c>
      <x:c r="F64" s="85"/>
      <x:c r="G64" s="85" t="str">
        <x:v>9 FedEx Pkwy</x:v>
      </x:c>
      <x:c r="H64" s="85"/>
      <x:c r="I64" s="85" t="str">
        <x:v>Collierville</x:v>
      </x:c>
      <x:c r="J64" s="85" t="str">
        <x:v>Shelby</x:v>
      </x:c>
      <x:c r="K64" s="85" t="str">
        <x:v>TN</x:v>
      </x:c>
      <x:c r="L64" s="85" t="str">
        <x:v>38017</x:v>
      </x:c>
      <x:c r="M64" s="85"/>
      <x:c r="N64" s="85"/>
      <x:c r="O64" s="85" t="str">
        <x:v>address_or_site</x:v>
      </x:c>
      <x:c r="P64" s="85" t="str">
        <x:v>high</x:v>
      </x:c>
      <x:c r="Q64" s="85" t="str">
        <x:v>Public verification source; Master coordinate retained rather than inferred.</x:v>
      </x:c>
      <x:c r="R64" s="85" t="str">
        <x:v>operational</x:v>
      </x:c>
      <x:c r="S64" s="85" t="str">
        <x:v>operational</x:v>
      </x:c>
      <x:c r="T64" s="85" t="str">
        <x:v>data_center</x:v>
      </x:c>
      <x:c r="U64" s="85"/>
      <x:c r="V64" s="85"/>
      <x:c r="W64" s="85"/>
      <x:c r="X64" s="85"/>
      <x:c r="Y64" s="85"/>
      <x:c r="Z64" s="85"/>
      <x:c r="AA64" s="85"/>
      <x:c r="AB64" s="85"/>
      <x:c r="AC64" s="85"/>
      <x:c r="AD64" s="85"/>
      <x:c r="AE64" s="85"/>
      <x:c r="AF64" s="85"/>
      <x:c r="AG64" s="85"/>
      <x:c r="AH64" s="85"/>
      <x:c r="AI64" s="85" t="str">
        <x:v>2026-09-03</x:v>
      </x:c>
      <x:c r="AJ64" s="85" t="str">
        <x:v>https://colomap.com/facilities/collierville-enterprise-data-center/</x:v>
      </x:c>
      <x:c r="AK64" s="85"/>
      <x:c r="AL64" s="85" t="str">
        <x:v>https://colomap.com/facilities/collierville-enterprise-data-center/</x:v>
      </x:c>
      <x:c r="AM64" s="85" t="str">
        <x:v>Independent listing confirms facility address/operator.</x:v>
      </x:c>
      <x:c r="AN64" s="85" t="str">
        <x:v>core_data_center</x:v>
      </x:c>
      <x:c r="AO64" s="86" t="b">
        <x:v>1</x:v>
      </x:c>
      <x:c r="AP64" s="85" t="str">
        <x:v>Aphorio Carter</x:v>
      </x:c>
      <x:c r="AQ64" s="85" t="str">
        <x:v>collierville enterprise data center</x:v>
      </x:c>
      <x:c r="AR64" s="85" t="str">
        <x:v>9 fedex pkwy</x:v>
      </x:c>
    </x:row>
    <x:row r="65">
      <x:c r="A65" s="85" t="str">
        <x:v>baxtel</x:v>
      </x:c>
      <x:c r="B65" s="85" t="str">
        <x:v>baxtel:centersquare-gallatin-nas</x:v>
      </x:c>
      <x:c r="C65" s="85" t="str">
        <x:v>Centersquare Gallatin (NAS)</x:v>
      </x:c>
      <x:c r="D65" s="85"/>
      <x:c r="E65" s="85" t="str">
        <x:v>Centersquare</x:v>
      </x:c>
      <x:c r="F65" s="85"/>
      <x:c r="G65" s="85" t="str">
        <x:v>1398 Gateway Dr</x:v>
      </x:c>
      <x:c r="H65" s="85"/>
      <x:c r="I65" s="85" t="str">
        <x:v>Gallatin</x:v>
      </x:c>
      <x:c r="J65" s="85" t="str">
        <x:v>Sumner</x:v>
      </x:c>
      <x:c r="K65" s="85" t="str">
        <x:v>TN</x:v>
      </x:c>
      <x:c r="L65" s="85" t="str">
        <x:v>37066</x:v>
      </x:c>
      <x:c r="M65" s="85"/>
      <x:c r="N65" s="85"/>
      <x:c r="O65" s="85" t="str">
        <x:v>address_or_site</x:v>
      </x:c>
      <x:c r="P65" s="85" t="str">
        <x:v>high</x:v>
      </x:c>
      <x:c r="Q65" s="85" t="str">
        <x:v>Public verification source; Master coordinate retained rather than inferred.</x:v>
      </x:c>
      <x:c r="R65" s="85" t="str">
        <x:v>operational</x:v>
      </x:c>
      <x:c r="S65" s="85" t="str">
        <x:v>operational</x:v>
      </x:c>
      <x:c r="T65" s="85" t="str">
        <x:v>data_center</x:v>
      </x:c>
      <x:c r="U65" s="85"/>
      <x:c r="V65" s="85"/>
      <x:c r="W65" s="85"/>
      <x:c r="X65" s="85"/>
      <x:c r="Y65" s="85"/>
      <x:c r="Z65" s="85"/>
      <x:c r="AA65" s="85"/>
      <x:c r="AB65" s="85"/>
      <x:c r="AC65" s="85"/>
      <x:c r="AD65" s="85"/>
      <x:c r="AE65" s="85"/>
      <x:c r="AF65" s="85"/>
      <x:c r="AG65" s="85"/>
      <x:c r="AH65" s="85"/>
      <x:c r="AI65" s="85" t="str">
        <x:v>2026-09-03</x:v>
      </x:c>
      <x:c r="AJ65" s="85" t="str">
        <x:v>https://baxtel.com/data-center/centersquare-gallatin-nas</x:v>
      </x:c>
      <x:c r="AK65" s="85"/>
      <x:c r="AL65" s="85" t="str">
        <x:v>https://baxtel.com/data-center/centersquare-gallatin-nas</x:v>
      </x:c>
      <x:c r="AM65" s="85" t="str">
        <x:v>Independent listing confirms operational campus and address.</x:v>
      </x:c>
      <x:c r="AN65" s="85" t="str">
        <x:v>core_data_center</x:v>
      </x:c>
      <x:c r="AO65" s="86" t="b">
        <x:v>1</x:v>
      </x:c>
      <x:c r="AP65" s="85" t="str">
        <x:v>Centersquare</x:v>
      </x:c>
      <x:c r="AQ65" s="85" t="str">
        <x:v>centersquare gallatin (nas)</x:v>
      </x:c>
      <x:c r="AR65" s="85" t="str">
        <x:v>1398 gateway dr</x:v>
      </x:c>
    </x:row>
    <x:row r="66">
      <x:c r="A66" s="85" t="str">
        <x:v>datacentermap</x:v>
      </x:c>
      <x:c r="B66" s="85" t="str">
        <x:v>datacentermap:bitdeer-tennessee</x:v>
      </x:c>
      <x:c r="C66" s="85" t="str">
        <x:v>Bitdeer Tennessee</x:v>
      </x:c>
      <x:c r="D66" s="85"/>
      <x:c r="E66" s="85" t="str">
        <x:v>Bitdeer Technologies Group</x:v>
      </x:c>
      <x:c r="F66" s="85"/>
      <x:c r="G66" s="85" t="str">
        <x:v>5101 S National Dr</x:v>
      </x:c>
      <x:c r="H66" s="85"/>
      <x:c r="I66" s="85" t="str">
        <x:v>Knoxville</x:v>
      </x:c>
      <x:c r="J66" s="85" t="str">
        <x:v>Knox</x:v>
      </x:c>
      <x:c r="K66" s="85" t="str">
        <x:v>TN</x:v>
      </x:c>
      <x:c r="L66" s="85" t="str">
        <x:v>37914</x:v>
      </x:c>
      <x:c r="M66" s="85"/>
      <x:c r="N66" s="85"/>
      <x:c r="O66" s="85" t="str">
        <x:v>address_or_site</x:v>
      </x:c>
      <x:c r="P66" s="85" t="str">
        <x:v>high</x:v>
      </x:c>
      <x:c r="Q66" s="85" t="str">
        <x:v>Public verification source; Master coordinate retained rather than inferred.</x:v>
      </x:c>
      <x:c r="R66" s="85" t="str">
        <x:v>operational</x:v>
      </x:c>
      <x:c r="S66" s="85" t="str">
        <x:v>operational</x:v>
      </x:c>
      <x:c r="T66" s="85" t="str">
        <x:v>data_center</x:v>
      </x:c>
      <x:c r="U66" s="85"/>
      <x:c r="V66" s="85" t="n">
        <x:v>86</x:v>
      </x:c>
      <x:c r="W66" s="85"/>
      <x:c r="X66" s="85"/>
      <x:c r="Y66" s="85"/>
      <x:c r="Z66" s="85"/>
      <x:c r="AA66" s="85"/>
      <x:c r="AB66" s="85"/>
      <x:c r="AC66" s="85"/>
      <x:c r="AD66" s="85"/>
      <x:c r="AE66" s="85"/>
      <x:c r="AF66" s="85"/>
      <x:c r="AG66" s="85"/>
      <x:c r="AH66" s="85"/>
      <x:c r="AI66" s="85" t="str">
        <x:v>2026-09-03</x:v>
      </x:c>
      <x:c r="AJ66" s="85" t="str">
        <x:v>https://www.datacentermap.com/usa/tennessee/knoxville/bitdeer-knoxville-tennessee/specs/</x:v>
      </x:c>
      <x:c r="AK66" s="85"/>
      <x:c r="AL66" s="85" t="str">
        <x:v>https://www.datacentermap.com/usa/tennessee/knoxville/bitdeer-knoxville-tennessee/specs/</x:v>
      </x:c>
      <x:c r="AM66" s="85" t="str">
        <x:v>Independent record reports 86 MW and year operational 2020; earlier under-construction label likely reflected AI expansion.</x:v>
      </x:c>
      <x:c r="AN66" s="85" t="str">
        <x:v>core_data_center</x:v>
      </x:c>
      <x:c r="AO66" s="86" t="b">
        <x:v>1</x:v>
      </x:c>
      <x:c r="AP66" s="85" t="str">
        <x:v>Bitdeer Technologies Group</x:v>
      </x:c>
      <x:c r="AQ66" s="85" t="str">
        <x:v>bitdeer tennessee</x:v>
      </x:c>
      <x:c r="AR66" s="85" t="str">
        <x:v>5101 s national dr</x:v>
      </x:c>
    </x:row>
    <x:row r="67">
      <x:c r="A67" s="85" t="str">
        <x:v>scipio_official</x:v>
      </x:c>
      <x:c r="B67" s="85" t="str">
        <x:v>scipio:knoxville</x:v>
      </x:c>
      <x:c r="C67" s="85" t="str">
        <x:v>Scipio Technologies Knoxville</x:v>
      </x:c>
      <x:c r="D67" s="85"/>
      <x:c r="E67" s="85" t="str">
        <x:v>Scipio Technologies</x:v>
      </x:c>
      <x:c r="F67" s="85"/>
      <x:c r="G67" s="85" t="str">
        <x:v>500 W. Summit Hill Drive</x:v>
      </x:c>
      <x:c r="H67" s="85"/>
      <x:c r="I67" s="85" t="str">
        <x:v>Knoxville</x:v>
      </x:c>
      <x:c r="J67" s="85" t="str">
        <x:v>Knox</x:v>
      </x:c>
      <x:c r="K67" s="85" t="str">
        <x:v>TN</x:v>
      </x:c>
      <x:c r="L67" s="85" t="str">
        <x:v>37902</x:v>
      </x:c>
      <x:c r="M67" s="85"/>
      <x:c r="N67" s="85"/>
      <x:c r="O67" s="85" t="str">
        <x:v>address_or_site</x:v>
      </x:c>
      <x:c r="P67" s="85" t="str">
        <x:v>high</x:v>
      </x:c>
      <x:c r="Q67" s="85" t="str">
        <x:v>Public verification source; Master coordinate retained rather than inferred.</x:v>
      </x:c>
      <x:c r="R67" s="85" t="str">
        <x:v>operational</x:v>
      </x:c>
      <x:c r="S67" s="85" t="str">
        <x:v>operational</x:v>
      </x:c>
      <x:c r="T67" s="85" t="str">
        <x:v>interconnection_facility</x:v>
      </x:c>
      <x:c r="U67" s="85"/>
      <x:c r="V67" s="85"/>
      <x:c r="W67" s="85"/>
      <x:c r="X67" s="85"/>
      <x:c r="Y67" s="85"/>
      <x:c r="Z67" s="85"/>
      <x:c r="AA67" s="85"/>
      <x:c r="AB67" s="85"/>
      <x:c r="AC67" s="85"/>
      <x:c r="AD67" s="85"/>
      <x:c r="AE67" s="85"/>
      <x:c r="AF67" s="85"/>
      <x:c r="AG67" s="85"/>
      <x:c r="AH67" s="85"/>
      <x:c r="AI67" s="85" t="str">
        <x:v>2026-09-03</x:v>
      </x:c>
      <x:c r="AJ67" s="85" t="str">
        <x:v>https://scipiotech.com/support/</x:v>
      </x:c>
      <x:c r="AK67" s="85"/>
      <x:c r="AL67" s="85" t="str">
        <x:v>https://scipiotech.com/support/</x:v>
      </x:c>
      <x:c r="AM67" s="85" t="str">
        <x:v>Official Scipio location; legacy Peace/Nexus identity preserved.</x:v>
      </x:c>
      <x:c r="AN67" s="85" t="str">
        <x:v>core_data_center</x:v>
      </x:c>
      <x:c r="AO67" s="86" t="b">
        <x:v>1</x:v>
      </x:c>
      <x:c r="AP67" s="85" t="str">
        <x:v>Scipio Technologies</x:v>
      </x:c>
      <x:c r="AQ67" s="85" t="str">
        <x:v>scipio technologies knoxville</x:v>
      </x:c>
      <x:c r="AR67" s="85" t="str">
        <x:v>500 w. summit hill drive</x:v>
      </x:c>
    </x:row>
    <x:row r="68">
      <x:c r="A68" s="85" t="str">
        <x:v>usaf_official</x:v>
      </x:c>
      <x:c r="B68" s="85" t="str">
        <x:v>usaf:arnold-no-proposal-20260601</x:v>
      </x:c>
      <x:c r="C68" s="85" t="str">
        <x:v>Arnold AFB AI Data Center Opportunity</x:v>
      </x:c>
      <x:c r="D68" s="85"/>
      <x:c r="E68" s="85"/>
      <x:c r="F68" s="85"/>
      <x:c r="G68" s="85"/>
      <x:c r="H68" s="85"/>
      <x:c r="I68" s="85" t="str">
        <x:v>Manchester</x:v>
      </x:c>
      <x:c r="J68" s="85" t="str">
        <x:v>Coffee</x:v>
      </x:c>
      <x:c r="K68" s="85" t="str">
        <x:v>TN</x:v>
      </x:c>
      <x:c r="L68" s="85" t="str">
        <x:v>37355</x:v>
      </x:c>
      <x:c r="M68" s="85"/>
      <x:c r="N68" s="85"/>
      <x:c r="O68" s="85" t="str">
        <x:v>approximate_site</x:v>
      </x:c>
      <x:c r="P68" s="85" t="str">
        <x:v>medium</x:v>
      </x:c>
      <x:c r="Q68" s="85" t="str">
        <x:v>Public verification source; Master coordinate retained rather than inferred.</x:v>
      </x:c>
      <x:c r="R68" s="85" t="str">
        <x:v>cancelled</x:v>
      </x:c>
      <x:c r="S68" s="85" t="str">
        <x:v>cancelled</x:v>
      </x:c>
      <x:c r="T68" s="85" t="str">
        <x:v>data_center</x:v>
      </x:c>
      <x:c r="U68" s="85"/>
      <x:c r="V68" s="85"/>
      <x:c r="W68" s="85"/>
      <x:c r="X68" s="85"/>
      <x:c r="Y68" s="85"/>
      <x:c r="Z68" s="85"/>
      <x:c r="AA68" s="85"/>
      <x:c r="AB68" s="85"/>
      <x:c r="AC68" s="85"/>
      <x:c r="AD68" s="85"/>
      <x:c r="AE68" s="85"/>
      <x:c r="AF68" s="85"/>
      <x:c r="AG68" s="85"/>
      <x:c r="AH68" s="85"/>
      <x:c r="AI68" s="85" t="str">
        <x:v>2026-09-03</x:v>
      </x:c>
      <x:c r="AJ68" s="85" t="str">
        <x:v>https://www.arnold.af.mil/News/Article-Display/Article/4505271/notification-of-ai-data-center-no-proposal/</x:v>
      </x:c>
      <x:c r="AK68" s="85"/>
      <x:c r="AL68" s="85" t="str">
        <x:v>https://www.arnold.af.mil/News/Article-Display/Article/4505271/notification-of-ai-data-center-no-proposal/</x:v>
      </x:c>
      <x:c r="AM68" s="85" t="str">
        <x:v>Official Arnold AFB notice says no potential offerors submitted proposals.</x:v>
      </x:c>
      <x:c r="AN68" s="85" t="str">
        <x:v>core_data_center</x:v>
      </x:c>
      <x:c r="AO68" s="86" t="b">
        <x:v>1</x:v>
      </x:c>
      <x:c r="AP68" s="85"/>
      <x:c r="AQ68" s="85" t="str">
        <x:v>arnold afb ai data center opportunity</x:v>
      </x:c>
      <x:c r="AR68" s="85"/>
    </x:row>
    <x:row r="69">
      <x:c r="A69" s="85" t="str">
        <x:v>tn_ecd</x:v>
      </x:c>
      <x:c r="B69" s="85" t="str">
        <x:v>tnecd:litewire-20150715</x:v>
      </x:c>
      <x:c r="C69" s="85" t="str">
        <x:v>Litewire McMinnville</x:v>
      </x:c>
      <x:c r="D69" s="85"/>
      <x:c r="E69" s="85" t="str">
        <x:v>Litewire</x:v>
      </x:c>
      <x:c r="F69" s="85"/>
      <x:c r="G69" s="85" t="str">
        <x:v>204 Red Rd</x:v>
      </x:c>
      <x:c r="H69" s="85"/>
      <x:c r="I69" s="85" t="str">
        <x:v>McMinnville</x:v>
      </x:c>
      <x:c r="J69" s="85" t="str">
        <x:v>Warren</x:v>
      </x:c>
      <x:c r="K69" s="85" t="str">
        <x:v>TN</x:v>
      </x:c>
      <x:c r="L69" s="85" t="str">
        <x:v>37110</x:v>
      </x:c>
      <x:c r="M69" s="85"/>
      <x:c r="N69" s="85"/>
      <x:c r="O69" s="85" t="str">
        <x:v>address_or_site</x:v>
      </x:c>
      <x:c r="P69" s="85" t="str">
        <x:v>high</x:v>
      </x:c>
      <x:c r="Q69" s="85" t="str">
        <x:v>Public verification source; Master coordinate retained rather than inferred.</x:v>
      </x:c>
      <x:c r="R69" s="85" t="str">
        <x:v>operational</x:v>
      </x:c>
      <x:c r="S69" s="85" t="str">
        <x:v>operational</x:v>
      </x:c>
      <x:c r="T69" s="85" t="str">
        <x:v>data_center</x:v>
      </x:c>
      <x:c r="U69" s="85"/>
      <x:c r="V69" s="85"/>
      <x:c r="W69" s="85"/>
      <x:c r="X69" s="85"/>
      <x:c r="Y69" s="85"/>
      <x:c r="Z69" s="85"/>
      <x:c r="AA69" s="85"/>
      <x:c r="AB69" s="85"/>
      <x:c r="AC69" s="85"/>
      <x:c r="AD69" s="85"/>
      <x:c r="AE69" s="85"/>
      <x:c r="AF69" s="85"/>
      <x:c r="AG69" s="85"/>
      <x:c r="AH69" s="85"/>
      <x:c r="AI69" s="85" t="str">
        <x:v>2026-09-03</x:v>
      </x:c>
      <x:c r="AJ69" s="85" t="str">
        <x:v>https://www.tn.gov/ecd/news/2015/7/15/litewire-llc-to-open-new-facility-in-warren-county.html</x:v>
      </x:c>
      <x:c r="AK69" s="85"/>
      <x:c r="AL69" s="85" t="str">
        <x:v>https://www.tn.gov/ecd/news/2015/7/15/litewire-llc-to-open-new-facility-in-warren-county.html</x:v>
      </x:c>
      <x:c r="AM69" s="85" t="str">
        <x:v>Tennessee ECD announcement identifies Tier IV data center at 204 Red Rd.</x:v>
      </x:c>
      <x:c r="AN69" s="85" t="str">
        <x:v>core_data_center</x:v>
      </x:c>
      <x:c r="AO69" s="86" t="b">
        <x:v>1</x:v>
      </x:c>
      <x:c r="AP69" s="85" t="str">
        <x:v>Litewire</x:v>
      </x:c>
      <x:c r="AQ69" s="85" t="str">
        <x:v>litewire mcminnville</x:v>
      </x:c>
      <x:c r="AR69" s="85" t="str">
        <x:v>204 red rd</x:v>
      </x:c>
    </x:row>
    <x:row r="70">
      <x:c r="A70" s="85" t="str">
        <x:v>reuters</x:v>
      </x:c>
      <x:c r="B70" s="85" t="str">
        <x:v>reuters:xai-colossus-20240924</x:v>
      </x:c>
      <x:c r="C70" s="85" t="str">
        <x:v>Colossus</x:v>
      </x:c>
      <x:c r="D70" s="85"/>
      <x:c r="E70" s="85" t="str">
        <x:v>xAI</x:v>
      </x:c>
      <x:c r="F70" s="85"/>
      <x:c r="G70" s="85"/>
      <x:c r="H70" s="85"/>
      <x:c r="I70" s="85" t="str">
        <x:v>Memphis</x:v>
      </x:c>
      <x:c r="J70" s="85" t="str">
        <x:v>Shelby</x:v>
      </x:c>
      <x:c r="K70" s="85" t="str">
        <x:v>TN</x:v>
      </x:c>
      <x:c r="L70" s="85"/>
      <x:c r="M70" s="85"/>
      <x:c r="N70" s="85"/>
      <x:c r="O70" s="85" t="str">
        <x:v>exact</x:v>
      </x:c>
      <x:c r="P70" s="85" t="str">
        <x:v>medium</x:v>
      </x:c>
      <x:c r="Q70" s="85" t="str">
        <x:v>Public verification source; Master coordinate retained rather than inferred.</x:v>
      </x:c>
      <x:c r="R70" s="85" t="str">
        <x:v>operational</x:v>
      </x:c>
      <x:c r="S70" s="85" t="str">
        <x:v>operational</x:v>
      </x:c>
      <x:c r="T70" s="85" t="str">
        <x:v>data_center</x:v>
      </x:c>
      <x:c r="U70" s="85"/>
      <x:c r="V70" s="85"/>
      <x:c r="W70" s="85"/>
      <x:c r="X70" s="85"/>
      <x:c r="Y70" s="85"/>
      <x:c r="Z70" s="85"/>
      <x:c r="AA70" s="85"/>
      <x:c r="AB70" s="85"/>
      <x:c r="AC70" s="85"/>
      <x:c r="AD70" s="85"/>
      <x:c r="AE70" s="85"/>
      <x:c r="AF70" s="85"/>
      <x:c r="AG70" s="85"/>
      <x:c r="AH70" s="85"/>
      <x:c r="AI70" s="85" t="str">
        <x:v>2026-09-03</x:v>
      </x:c>
      <x:c r="AJ70" s="85" t="str">
        <x:v>https://www.reuters.com/technology/artificial-intelligence/musk-says-xai-has-built-worlds-most-powerful-ai-training-cluster-2024-09-24/</x:v>
      </x:c>
      <x:c r="AK70" s="85"/>
      <x:c r="AL70" s="85" t="str">
        <x:v>https://www.reuters.com/technology/artificial-intelligence/musk-says-xai-has-built-worlds-most-powerful-ai-training-cluster-2024-09-24/</x:v>
      </x:c>
      <x:c r="AM70" s="85" t="str">
        <x:v>Independent reporting confirms Colossus in Memphis; exact entity overlap remains under review. Removed from Master during deduplication because the generic Colossus record maps ambiguously to TNDC-030 or TNDC-031.</x:v>
      </x:c>
      <x:c r="AN70" s="85" t="str">
        <x:v>unresolved_duplicate_source</x:v>
      </x:c>
      <x:c r="AO70" s="86" t="b">
        <x:v>0</x:v>
      </x:c>
      <x:c r="AP70" s="85" t="str">
        <x:v>xAI</x:v>
      </x:c>
      <x:c r="AQ70" s="85" t="str">
        <x:v>colossus</x:v>
      </x:c>
      <x:c r="AR70" s="85"/>
    </x:row>
    <x:row r="71">
      <x:c r="A71" s="85" t="str">
        <x:v>edgeconnex_official</x:v>
      </x:c>
      <x:c r="B71" s="85" t="str">
        <x:v>edgeconnex:mem01-datasheet</x:v>
      </x:c>
      <x:c r="C71" s="85" t="str">
        <x:v>EdgeConneX Memphis MEM01</x:v>
      </x:c>
      <x:c r="D71" s="85"/>
      <x:c r="E71" s="85" t="str">
        <x:v>EdgeConneX</x:v>
      </x:c>
      <x:c r="F71" s="85"/>
      <x:c r="G71" s="85" t="str">
        <x:v>4005 S Mendenhall Rd, #6</x:v>
      </x:c>
      <x:c r="H71" s="85"/>
      <x:c r="I71" s="85" t="str">
        <x:v>Memphis</x:v>
      </x:c>
      <x:c r="J71" s="85" t="str">
        <x:v>Shelby</x:v>
      </x:c>
      <x:c r="K71" s="85" t="str">
        <x:v>TN</x:v>
      </x:c>
      <x:c r="L71" s="85" t="str">
        <x:v>38115</x:v>
      </x:c>
      <x:c r="M71" s="85"/>
      <x:c r="N71" s="85"/>
      <x:c r="O71" s="85" t="str">
        <x:v>address_or_site</x:v>
      </x:c>
      <x:c r="P71" s="85" t="str">
        <x:v>high</x:v>
      </x:c>
      <x:c r="Q71" s="85" t="str">
        <x:v>Public verification source; Master coordinate retained rather than inferred.</x:v>
      </x:c>
      <x:c r="R71" s="85" t="str">
        <x:v>operational</x:v>
      </x:c>
      <x:c r="S71" s="85" t="str">
        <x:v>operational</x:v>
      </x:c>
      <x:c r="T71" s="85" t="str">
        <x:v>interconnection_facility</x:v>
      </x:c>
      <x:c r="U71" s="85"/>
      <x:c r="V71" s="85"/>
      <x:c r="W71" s="85"/>
      <x:c r="X71" s="85"/>
      <x:c r="Y71" s="85"/>
      <x:c r="Z71" s="85"/>
      <x:c r="AA71" s="85"/>
      <x:c r="AB71" s="85"/>
      <x:c r="AC71" s="85"/>
      <x:c r="AD71" s="85"/>
      <x:c r="AE71" s="85"/>
      <x:c r="AF71" s="85"/>
      <x:c r="AG71" s="85"/>
      <x:c r="AH71" s="85"/>
      <x:c r="AI71" s="85" t="str">
        <x:v>2026-09-03</x:v>
      </x:c>
      <x:c r="AJ71" s="85" t="str">
        <x:v>https://www.edgeconnex.com/wp-content/uploads/2023/06/ECX-22-39-MEMPHIS-2023-DATA-SHEET-V3.pdf</x:v>
      </x:c>
      <x:c r="AK71" s="85"/>
      <x:c r="AL71" s="85" t="str">
        <x:v>https://www.edgeconnex.com/wp-content/uploads/2023/06/ECX-22-39-MEMPHIS-2023-DATA-SHEET-V3.pdf</x:v>
      </x:c>
      <x:c r="AM71" s="85" t="str">
        <x:v>EdgeConneX facility data sheet confirms address and operating specs.</x:v>
      </x:c>
      <x:c r="AN71" s="85" t="str">
        <x:v>core_data_center</x:v>
      </x:c>
      <x:c r="AO71" s="86" t="b">
        <x:v>1</x:v>
      </x:c>
      <x:c r="AP71" s="85" t="str">
        <x:v>EdgeConneX</x:v>
      </x:c>
      <x:c r="AQ71" s="85" t="str">
        <x:v>edgeconnex memphis mem01</x:v>
      </x:c>
      <x:c r="AR71" s="85" t="str">
        <x:v>4005 s mendenhall rd, #6</x:v>
      </x:c>
    </x:row>
    <x:row r="72">
      <x:c r="A72" s="85" t="str">
        <x:v>expedient_official</x:v>
      </x:c>
      <x:c r="B72" s="85" t="str">
        <x:v>expedient:mem1</x:v>
      </x:c>
      <x:c r="C72" s="85" t="str">
        <x:v>Expedient Memphis MEM1</x:v>
      </x:c>
      <x:c r="D72" s="85"/>
      <x:c r="E72" s="85" t="str">
        <x:v>Expedient</x:v>
      </x:c>
      <x:c r="F72" s="85"/>
      <x:c r="G72" s="85" t="str">
        <x:v>3180 Players Lane</x:v>
      </x:c>
      <x:c r="H72" s="85"/>
      <x:c r="I72" s="85" t="str">
        <x:v>Memphis</x:v>
      </x:c>
      <x:c r="J72" s="85" t="str">
        <x:v>Shelby</x:v>
      </x:c>
      <x:c r="K72" s="85" t="str">
        <x:v>TN</x:v>
      </x:c>
      <x:c r="L72" s="85" t="str">
        <x:v>38125</x:v>
      </x:c>
      <x:c r="M72" s="85"/>
      <x:c r="N72" s="85"/>
      <x:c r="O72" s="85" t="str">
        <x:v>address_or_site</x:v>
      </x:c>
      <x:c r="P72" s="85" t="str">
        <x:v>high</x:v>
      </x:c>
      <x:c r="Q72" s="85" t="str">
        <x:v>Public verification source; Master coordinate retained rather than inferred.</x:v>
      </x:c>
      <x:c r="R72" s="85" t="str">
        <x:v>operational</x:v>
      </x:c>
      <x:c r="S72" s="85" t="str">
        <x:v>operational</x:v>
      </x:c>
      <x:c r="T72" s="85" t="str">
        <x:v>interconnection_facility</x:v>
      </x:c>
      <x:c r="U72" s="85"/>
      <x:c r="V72" s="85" t="n">
        <x:v>1.5</x:v>
      </x:c>
      <x:c r="W72" s="85"/>
      <x:c r="X72" s="85"/>
      <x:c r="Y72" s="85" t="n">
        <x:v>35000</x:v>
      </x:c>
      <x:c r="Z72" s="85"/>
      <x:c r="AA72" s="85"/>
      <x:c r="AB72" s="85"/>
      <x:c r="AC72" s="85"/>
      <x:c r="AD72" s="85"/>
      <x:c r="AE72" s="85"/>
      <x:c r="AF72" s="85"/>
      <x:c r="AG72" s="85"/>
      <x:c r="AH72" s="85"/>
      <x:c r="AI72" s="85" t="str">
        <x:v>2026-09-03</x:v>
      </x:c>
      <x:c r="AJ72" s="85" t="str">
        <x:v>https://www.expedient.com/data-centers/memphis/</x:v>
      </x:c>
      <x:c r="AK72" s="85"/>
      <x:c r="AL72" s="85" t="str">
        <x:v>https://www.expedient.com/data-centers/memphis/</x:v>
      </x:c>
      <x:c r="AM72" s="85" t="str">
        <x:v>Official Expedient page confirms address, 1.5 MW critical IT load and 35,000 sq ft.</x:v>
      </x:c>
      <x:c r="AN72" s="85" t="str">
        <x:v>core_data_center</x:v>
      </x:c>
      <x:c r="AO72" s="86" t="b">
        <x:v>1</x:v>
      </x:c>
      <x:c r="AP72" s="85" t="str">
        <x:v>Expedient</x:v>
      </x:c>
      <x:c r="AQ72" s="85" t="str">
        <x:v>expedient memphis mem1</x:v>
      </x:c>
      <x:c r="AR72" s="85" t="str">
        <x:v>3180 players lane</x:v>
      </x:c>
    </x:row>
    <x:row r="73">
      <x:c r="A73" s="85" t="str">
        <x:v>datacentermap</x:v>
      </x:c>
      <x:c r="B73" s="85" t="str">
        <x:v>datacentermap:lumen-memphis1</x:v>
      </x:c>
      <x:c r="C73" s="85" t="str">
        <x:v>Lumen Memphis 1</x:v>
      </x:c>
      <x:c r="D73" s="85"/>
      <x:c r="E73" s="85" t="str">
        <x:v>Lumen</x:v>
      </x:c>
      <x:c r="F73" s="85"/>
      <x:c r="G73" s="85" t="str">
        <x:v>3993 Crowfarn Drive</x:v>
      </x:c>
      <x:c r="H73" s="85"/>
      <x:c r="I73" s="85" t="str">
        <x:v>Memphis</x:v>
      </x:c>
      <x:c r="J73" s="85" t="str">
        <x:v>Shelby</x:v>
      </x:c>
      <x:c r="K73" s="85" t="str">
        <x:v>TN</x:v>
      </x:c>
      <x:c r="L73" s="85" t="str">
        <x:v>38118</x:v>
      </x:c>
      <x:c r="M73" s="85"/>
      <x:c r="N73" s="85"/>
      <x:c r="O73" s="85" t="str">
        <x:v>address_or_site</x:v>
      </x:c>
      <x:c r="P73" s="85" t="str">
        <x:v>high</x:v>
      </x:c>
      <x:c r="Q73" s="85" t="str">
        <x:v>Public verification source; Master coordinate retained rather than inferred.</x:v>
      </x:c>
      <x:c r="R73" s="85" t="str">
        <x:v>operational</x:v>
      </x:c>
      <x:c r="S73" s="85" t="str">
        <x:v>operational</x:v>
      </x:c>
      <x:c r="T73" s="85" t="str">
        <x:v>interconnection_facility</x:v>
      </x:c>
      <x:c r="U73" s="85"/>
      <x:c r="V73" s="85"/>
      <x:c r="W73" s="85"/>
      <x:c r="X73" s="85"/>
      <x:c r="Y73" s="85"/>
      <x:c r="Z73" s="85"/>
      <x:c r="AA73" s="85"/>
      <x:c r="AB73" s="85"/>
      <x:c r="AC73" s="85"/>
      <x:c r="AD73" s="85"/>
      <x:c r="AE73" s="85"/>
      <x:c r="AF73" s="85"/>
      <x:c r="AG73" s="85"/>
      <x:c r="AH73" s="85"/>
      <x:c r="AI73" s="85" t="str">
        <x:v>2026-09-03</x:v>
      </x:c>
      <x:c r="AJ73" s="85" t="str">
        <x:v>https://www.datacentermap.com/usa/tennessee/memphis/level3-memphis1/</x:v>
      </x:c>
      <x:c r="AK73" s="85"/>
      <x:c r="AL73" s="85" t="str">
        <x:v>https://www.datacentermap.com/usa/tennessee/memphis/level3-memphis1/</x:v>
      </x:c>
      <x:c r="AM73" s="85" t="str">
        <x:v>Independent listing confirms site and Level3/CenturyLink/Lumen lineage.</x:v>
      </x:c>
      <x:c r="AN73" s="85" t="str">
        <x:v>core_data_center</x:v>
      </x:c>
      <x:c r="AO73" s="86" t="b">
        <x:v>1</x:v>
      </x:c>
      <x:c r="AP73" s="85" t="str">
        <x:v>Lumen</x:v>
      </x:c>
      <x:c r="AQ73" s="85" t="str">
        <x:v>lumen memphis 1</x:v>
      </x:c>
      <x:c r="AR73" s="85" t="str">
        <x:v>3993 crowfarn drive</x:v>
      </x:c>
    </x:row>
    <x:row r="74">
      <x:c r="A74" s="85" t="str">
        <x:v>datacenterdynamics</x:v>
      </x:c>
      <x:c r="B74" s="85" t="str">
        <x:v>dcd:xai-colossus1</x:v>
      </x:c>
      <x:c r="C74" s="85" t="str">
        <x:v>xAI Colossus 1</x:v>
      </x:c>
      <x:c r="D74" s="85"/>
      <x:c r="E74" s="85" t="str">
        <x:v>xAI</x:v>
      </x:c>
      <x:c r="F74" s="85"/>
      <x:c r="G74" s="85" t="str">
        <x:v>Paul Lowry Rd / Riverport Rd</x:v>
      </x:c>
      <x:c r="H74" s="85"/>
      <x:c r="I74" s="85" t="str">
        <x:v>Memphis</x:v>
      </x:c>
      <x:c r="J74" s="85" t="str">
        <x:v>Shelby</x:v>
      </x:c>
      <x:c r="K74" s="85" t="str">
        <x:v>TN</x:v>
      </x:c>
      <x:c r="L74" s="85" t="str">
        <x:v>38109</x:v>
      </x:c>
      <x:c r="M74" s="85"/>
      <x:c r="N74" s="85"/>
      <x:c r="O74" s="85" t="str">
        <x:v>address_or_site</x:v>
      </x:c>
      <x:c r="P74" s="85" t="str">
        <x:v>high</x:v>
      </x:c>
      <x:c r="Q74" s="85" t="str">
        <x:v>Public verification source; Master coordinate retained rather than inferred.</x:v>
      </x:c>
      <x:c r="R74" s="85" t="str">
        <x:v>operational</x:v>
      </x:c>
      <x:c r="S74" s="85" t="str">
        <x:v>operational</x:v>
      </x:c>
      <x:c r="T74" s="85" t="str">
        <x:v>data_center</x:v>
      </x:c>
      <x:c r="U74" s="85"/>
      <x:c r="V74" s="85"/>
      <x:c r="W74" s="85"/>
      <x:c r="X74" s="85"/>
      <x:c r="Y74" s="85"/>
      <x:c r="Z74" s="85"/>
      <x:c r="AA74" s="85"/>
      <x:c r="AB74" s="85"/>
      <x:c r="AC74" s="85"/>
      <x:c r="AD74" s="85"/>
      <x:c r="AE74" s="85"/>
      <x:c r="AF74" s="85"/>
      <x:c r="AG74" s="85"/>
      <x:c r="AH74" s="85"/>
      <x:c r="AI74" s="85" t="str">
        <x:v>2026-09-03</x:v>
      </x:c>
      <x:c r="AJ74" s="85" t="str">
        <x:v>https://www.datacenterdynamics.com/en/news/xai-removes-some-of-controversial-gas-turbines-from-memphis-data-center/</x:v>
      </x:c>
      <x:c r="AK74" s="85"/>
      <x:c r="AL74" s="85" t="str">
        <x:v>https://www.datacenterdynamics.com/en/news/xai-removes-some-of-controversial-gas-turbines-from-memphis-data-center/</x:v>
      </x:c>
      <x:c r="AM74" s="85" t="str">
        <x:v>Independent reporting confirms original Colossus 1 Memphis facility.</x:v>
      </x:c>
      <x:c r="AN74" s="85" t="str">
        <x:v>core_data_center</x:v>
      </x:c>
      <x:c r="AO74" s="86" t="b">
        <x:v>1</x:v>
      </x:c>
      <x:c r="AP74" s="85" t="str">
        <x:v>xAI</x:v>
      </x:c>
      <x:c r="AQ74" s="85" t="str">
        <x:v>xai colossus 1</x:v>
      </x:c>
      <x:c r="AR74" s="85" t="str">
        <x:v>paul lowry rd / riverport rd</x:v>
      </x:c>
    </x:row>
    <x:row r="75">
      <x:c r="A75" s="85" t="str">
        <x:v>datacenterdynamics</x:v>
      </x:c>
      <x:c r="B75" s="85" t="str">
        <x:v>dcd:xai-colossus2</x:v>
      </x:c>
      <x:c r="C75" s="85" t="str">
        <x:v>xAI Colossus 2</x:v>
      </x:c>
      <x:c r="D75" s="85"/>
      <x:c r="E75" s="85" t="str">
        <x:v>xAI</x:v>
      </x:c>
      <x:c r="F75" s="85"/>
      <x:c r="G75" s="85" t="str">
        <x:v>Tulane Rd</x:v>
      </x:c>
      <x:c r="H75" s="85"/>
      <x:c r="I75" s="85" t="str">
        <x:v>Memphis</x:v>
      </x:c>
      <x:c r="J75" s="85" t="str">
        <x:v>Shelby</x:v>
      </x:c>
      <x:c r="K75" s="85" t="str">
        <x:v>TN</x:v>
      </x:c>
      <x:c r="L75" s="85" t="str">
        <x:v>38109</x:v>
      </x:c>
      <x:c r="M75" s="85"/>
      <x:c r="N75" s="85"/>
      <x:c r="O75" s="85" t="str">
        <x:v>address_or_site</x:v>
      </x:c>
      <x:c r="P75" s="85" t="str">
        <x:v>high</x:v>
      </x:c>
      <x:c r="Q75" s="85" t="str">
        <x:v>Public verification source; Master coordinate retained rather than inferred.</x:v>
      </x:c>
      <x:c r="R75" s="85" t="str">
        <x:v>expanding</x:v>
      </x:c>
      <x:c r="S75" s="85" t="str">
        <x:v>expanding</x:v>
      </x:c>
      <x:c r="T75" s="85" t="str">
        <x:v>data_center</x:v>
      </x:c>
      <x:c r="U75" s="85"/>
      <x:c r="V75" s="85"/>
      <x:c r="W75" s="85"/>
      <x:c r="X75" s="85"/>
      <x:c r="Y75" s="85"/>
      <x:c r="Z75" s="85"/>
      <x:c r="AA75" s="85"/>
      <x:c r="AB75" s="85"/>
      <x:c r="AC75" s="85"/>
      <x:c r="AD75" s="85"/>
      <x:c r="AE75" s="85"/>
      <x:c r="AF75" s="85"/>
      <x:c r="AG75" s="85"/>
      <x:c r="AH75" s="85"/>
      <x:c r="AI75" s="85" t="str">
        <x:v>2026-09-03</x:v>
      </x:c>
      <x:c r="AJ75" s="85" t="str">
        <x:v>https://www.datacenterdynamics.com/en/news/elon-musks-xai-buys-one-million-sq-ft-site-for-second-memphis-data-center/</x:v>
      </x:c>
      <x:c r="AK75" s="85"/>
      <x:c r="AL75" s="85" t="str">
        <x:v>https://www.datacenterdynamics.com/en/news/elon-musks-xai-buys-one-million-sq-ft-site-for-second-memphis-data-center/</x:v>
      </x:c>
      <x:c r="AM75" s="85" t="str">
        <x:v>Independent reporting confirms second Memphis data center site.</x:v>
      </x:c>
      <x:c r="AN75" s="85" t="str">
        <x:v>core_data_center</x:v>
      </x:c>
      <x:c r="AO75" s="86" t="b">
        <x:v>1</x:v>
      </x:c>
      <x:c r="AP75" s="85" t="str">
        <x:v>xAI</x:v>
      </x:c>
      <x:c r="AQ75" s="85" t="str">
        <x:v>xai colossus 2</x:v>
      </x:c>
      <x:c r="AR75" s="85" t="str">
        <x:v>tulane rd</x:v>
      </x:c>
    </x:row>
    <x:row r="76">
      <x:c r="A76" s="85" t="str">
        <x:v>edgeconnex_official</x:v>
      </x:c>
      <x:c r="B76" s="85" t="str">
        <x:v>edgeconnex:nas01-datasheet</x:v>
      </x:c>
      <x:c r="C76" s="85" t="str">
        <x:v>EdgeConneX Nashville NAS01</x:v>
      </x:c>
      <x:c r="D76" s="85"/>
      <x:c r="E76" s="85" t="str">
        <x:v>EdgeConneX</x:v>
      </x:c>
      <x:c r="F76" s="85"/>
      <x:c r="G76" s="85" t="str">
        <x:v>1841 Air Lane Dr, Bldg. 3</x:v>
      </x:c>
      <x:c r="H76" s="85"/>
      <x:c r="I76" s="85" t="str">
        <x:v>Nashville</x:v>
      </x:c>
      <x:c r="J76" s="85" t="str">
        <x:v>Davidson</x:v>
      </x:c>
      <x:c r="K76" s="85" t="str">
        <x:v>TN</x:v>
      </x:c>
      <x:c r="L76" s="85" t="str">
        <x:v>37210</x:v>
      </x:c>
      <x:c r="M76" s="85"/>
      <x:c r="N76" s="85"/>
      <x:c r="O76" s="85" t="str">
        <x:v>address_or_site</x:v>
      </x:c>
      <x:c r="P76" s="85" t="str">
        <x:v>high</x:v>
      </x:c>
      <x:c r="Q76" s="85" t="str">
        <x:v>Public verification source; Master coordinate retained rather than inferred.</x:v>
      </x:c>
      <x:c r="R76" s="85" t="str">
        <x:v>operational</x:v>
      </x:c>
      <x:c r="S76" s="85" t="str">
        <x:v>operational</x:v>
      </x:c>
      <x:c r="T76" s="85" t="str">
        <x:v>interconnection_facility</x:v>
      </x:c>
      <x:c r="U76" s="85"/>
      <x:c r="V76" s="85" t="n">
        <x:v>0.5</x:v>
      </x:c>
      <x:c r="W76" s="85"/>
      <x:c r="X76" s="85"/>
      <x:c r="Y76" s="85" t="n">
        <x:v>42500</x:v>
      </x:c>
      <x:c r="Z76" s="85"/>
      <x:c r="AA76" s="85"/>
      <x:c r="AB76" s="85"/>
      <x:c r="AC76" s="85"/>
      <x:c r="AD76" s="85"/>
      <x:c r="AE76" s="85"/>
      <x:c r="AF76" s="85"/>
      <x:c r="AG76" s="85"/>
      <x:c r="AH76" s="85"/>
      <x:c r="AI76" s="85" t="str">
        <x:v>2026-09-03</x:v>
      </x:c>
      <x:c r="AJ76" s="85" t="str">
        <x:v>https://static.datacentermap.com/company/edgeconnex/datacenter5546/EDCNAS01%20-%20Data%20Sheet.pdf</x:v>
      </x:c>
      <x:c r="AK76" s="85"/>
      <x:c r="AL76" s="85" t="str">
        <x:v>https://static.datacentermap.com/company/edgeconnex/datacenter5546/EDCNAS01%20-%20Data%20Sheet.pdf</x:v>
      </x:c>
      <x:c r="AM76" s="85" t="str">
        <x:v>Facility data sheet confirms address/specifications.</x:v>
      </x:c>
      <x:c r="AN76" s="85" t="str">
        <x:v>core_data_center</x:v>
      </x:c>
      <x:c r="AO76" s="86" t="b">
        <x:v>1</x:v>
      </x:c>
      <x:c r="AP76" s="85" t="str">
        <x:v>EdgeConneX</x:v>
      </x:c>
      <x:c r="AQ76" s="85" t="str">
        <x:v>edgeconnex nashville nas01</x:v>
      </x:c>
      <x:c r="AR76" s="85" t="str">
        <x:v>1841 air lane dr, bldg. 3</x:v>
      </x:c>
    </x:row>
    <x:row r="77">
      <x:c r="A77" s="85" t="str">
        <x:v>datacentermap</x:v>
      </x:c>
      <x:c r="B77" s="85" t="str">
        <x:v>datacentermap:h5-nashville1</x:v>
      </x:c>
      <x:c r="C77" s="85" t="str">
        <x:v>H5 Data Centers Nashville I</x:v>
      </x:c>
      <x:c r="D77" s="85"/>
      <x:c r="E77" s="85" t="str">
        <x:v>H5 Data Centers</x:v>
      </x:c>
      <x:c r="F77" s="85"/>
      <x:c r="G77" s="85" t="str">
        <x:v>211 Commerce St</x:v>
      </x:c>
      <x:c r="H77" s="85"/>
      <x:c r="I77" s="85" t="str">
        <x:v>Nashville</x:v>
      </x:c>
      <x:c r="J77" s="85" t="str">
        <x:v>Davidson</x:v>
      </x:c>
      <x:c r="K77" s="85" t="str">
        <x:v>TN</x:v>
      </x:c>
      <x:c r="L77" s="85" t="str">
        <x:v>37201</x:v>
      </x:c>
      <x:c r="M77" s="85"/>
      <x:c r="N77" s="85"/>
      <x:c r="O77" s="85" t="str">
        <x:v>address_or_site</x:v>
      </x:c>
      <x:c r="P77" s="85" t="str">
        <x:v>high</x:v>
      </x:c>
      <x:c r="Q77" s="85" t="str">
        <x:v>Public verification source; Master coordinate retained rather than inferred.</x:v>
      </x:c>
      <x:c r="R77" s="85" t="str">
        <x:v>operational</x:v>
      </x:c>
      <x:c r="S77" s="85" t="str">
        <x:v>operational</x:v>
      </x:c>
      <x:c r="T77" s="85" t="str">
        <x:v>interconnection_facility</x:v>
      </x:c>
      <x:c r="U77" s="85"/>
      <x:c r="V77" s="85"/>
      <x:c r="W77" s="85"/>
      <x:c r="X77" s="85"/>
      <x:c r="Y77" s="85"/>
      <x:c r="Z77" s="85"/>
      <x:c r="AA77" s="85"/>
      <x:c r="AB77" s="85"/>
      <x:c r="AC77" s="85"/>
      <x:c r="AD77" s="85"/>
      <x:c r="AE77" s="85"/>
      <x:c r="AF77" s="85"/>
      <x:c r="AG77" s="85"/>
      <x:c r="AH77" s="85"/>
      <x:c r="AI77" s="85" t="str">
        <x:v>2026-09-03</x:v>
      </x:c>
      <x:c r="AJ77" s="85" t="str">
        <x:v>https://www.datacentermap.com/usa/tennessee/nashville/h5-nashville/</x:v>
      </x:c>
      <x:c r="AK77" s="85"/>
      <x:c r="AL77" s="85" t="str">
        <x:v>https://www.datacentermap.com/usa/tennessee/nashville/h5-nashville/</x:v>
      </x:c>
      <x:c r="AM77" s="85" t="str">
        <x:v>Independent current listing confirms H5 Nashville I at 211 Commerce St; legacy IRIS relationship retained.</x:v>
      </x:c>
      <x:c r="AN77" s="85" t="str">
        <x:v>core_data_center</x:v>
      </x:c>
      <x:c r="AO77" s="86" t="b">
        <x:v>1</x:v>
      </x:c>
      <x:c r="AP77" s="85" t="str">
        <x:v>H5 Data Centers</x:v>
      </x:c>
      <x:c r="AQ77" s="85" t="str">
        <x:v>h5 data centers nashville i</x:v>
      </x:c>
      <x:c r="AR77" s="85" t="str">
        <x:v>211 commerce st</x:v>
      </x:c>
    </x:row>
    <x:row r="78">
      <x:c r="A78" s="85" t="str">
        <x:v>wsmv</x:v>
      </x:c>
      <x:c r="B78" s="85" t="str">
        <x:v>wsmv:nashville-list-9th</x:v>
      </x:c>
      <x:c r="C78" s="85" t="str">
        <x:v>Lumen Nashville 3</x:v>
      </x:c>
      <x:c r="D78" s="85"/>
      <x:c r="E78" s="85" t="str">
        <x:v>Lumen</x:v>
      </x:c>
      <x:c r="F78" s="85"/>
      <x:c r="G78" s="85" t="str">
        <x:v>2208 9th Avenue North</x:v>
      </x:c>
      <x:c r="H78" s="85"/>
      <x:c r="I78" s="85" t="str">
        <x:v>Nashville</x:v>
      </x:c>
      <x:c r="J78" s="85" t="str">
        <x:v>Davidson</x:v>
      </x:c>
      <x:c r="K78" s="85" t="str">
        <x:v>TN</x:v>
      </x:c>
      <x:c r="L78" s="85" t="str">
        <x:v>37208</x:v>
      </x:c>
      <x:c r="M78" s="85"/>
      <x:c r="N78" s="85"/>
      <x:c r="O78" s="85" t="str">
        <x:v>address_or_site</x:v>
      </x:c>
      <x:c r="P78" s="85" t="str">
        <x:v>high</x:v>
      </x:c>
      <x:c r="Q78" s="85" t="str">
        <x:v>Public verification source; Master coordinate retained rather than inferred.</x:v>
      </x:c>
      <x:c r="R78" s="85" t="str">
        <x:v>operational</x:v>
      </x:c>
      <x:c r="S78" s="85" t="str">
        <x:v>operational</x:v>
      </x:c>
      <x:c r="T78" s="85" t="str">
        <x:v>interconnection_facility</x:v>
      </x:c>
      <x:c r="U78" s="85"/>
      <x:c r="V78" s="85"/>
      <x:c r="W78" s="85"/>
      <x:c r="X78" s="85"/>
      <x:c r="Y78" s="85"/>
      <x:c r="Z78" s="85"/>
      <x:c r="AA78" s="85"/>
      <x:c r="AB78" s="85"/>
      <x:c r="AC78" s="85"/>
      <x:c r="AD78" s="85"/>
      <x:c r="AE78" s="85"/>
      <x:c r="AF78" s="85"/>
      <x:c r="AG78" s="85"/>
      <x:c r="AH78" s="85"/>
      <x:c r="AI78" s="85" t="str">
        <x:v>2026-09-03</x:v>
      </x:c>
      <x:c r="AJ78" s="85" t="str">
        <x:v>https://www.wsmv.com/2026/06/04/how-many-data-centers-are-there-nashville-heres-map-where-theyre-located/</x:v>
      </x:c>
      <x:c r="AK78" s="85"/>
      <x:c r="AL78" s="85" t="str">
        <x:v>https://www.wsmv.com/2026/06/04/how-many-data-centers-are-there-nashville-heres-map-where-theyre-located/</x:v>
      </x:c>
      <x:c r="AM78" s="85" t="str">
        <x:v>WSMV confirmed Nashville list independently verifies this Lumen/Level3 site.</x:v>
      </x:c>
      <x:c r="AN78" s="85" t="str">
        <x:v>core_data_center</x:v>
      </x:c>
      <x:c r="AO78" s="86" t="b">
        <x:v>1</x:v>
      </x:c>
      <x:c r="AP78" s="85" t="str">
        <x:v>Lumen</x:v>
      </x:c>
      <x:c r="AQ78" s="85" t="str">
        <x:v>lumen nashville 3</x:v>
      </x:c>
      <x:c r="AR78" s="85" t="str">
        <x:v>2208 9th avenue north</x:v>
      </x:c>
    </x:row>
    <x:row r="79">
      <x:c r="A79" s="85" t="str">
        <x:v>wsmv</x:v>
      </x:c>
      <x:c r="B79" s="85" t="str">
        <x:v>wsmv:nashville-list-sidco</x:v>
      </x:c>
      <x:c r="C79" s="85" t="str">
        <x:v>Lumen Nashville 1</x:v>
      </x:c>
      <x:c r="D79" s="85"/>
      <x:c r="E79" s="85" t="str">
        <x:v>Lumen</x:v>
      </x:c>
      <x:c r="F79" s="85"/>
      <x:c r="G79" s="85" t="str">
        <x:v>2990 Sidco Drive</x:v>
      </x:c>
      <x:c r="H79" s="85"/>
      <x:c r="I79" s="85" t="str">
        <x:v>Nashville</x:v>
      </x:c>
      <x:c r="J79" s="85" t="str">
        <x:v>Davidson</x:v>
      </x:c>
      <x:c r="K79" s="85" t="str">
        <x:v>TN</x:v>
      </x:c>
      <x:c r="L79" s="85" t="str">
        <x:v>37204</x:v>
      </x:c>
      <x:c r="M79" s="85"/>
      <x:c r="N79" s="85"/>
      <x:c r="O79" s="85" t="str">
        <x:v>address_or_site</x:v>
      </x:c>
      <x:c r="P79" s="85" t="str">
        <x:v>high</x:v>
      </x:c>
      <x:c r="Q79" s="85" t="str">
        <x:v>Public verification source; Master coordinate retained rather than inferred.</x:v>
      </x:c>
      <x:c r="R79" s="85" t="str">
        <x:v>operational</x:v>
      </x:c>
      <x:c r="S79" s="85" t="str">
        <x:v>operational</x:v>
      </x:c>
      <x:c r="T79" s="85" t="str">
        <x:v>interconnection_facility</x:v>
      </x:c>
      <x:c r="U79" s="85"/>
      <x:c r="V79" s="85"/>
      <x:c r="W79" s="85"/>
      <x:c r="X79" s="85"/>
      <x:c r="Y79" s="85"/>
      <x:c r="Z79" s="85"/>
      <x:c r="AA79" s="85"/>
      <x:c r="AB79" s="85"/>
      <x:c r="AC79" s="85"/>
      <x:c r="AD79" s="85"/>
      <x:c r="AE79" s="85"/>
      <x:c r="AF79" s="85"/>
      <x:c r="AG79" s="85"/>
      <x:c r="AH79" s="85"/>
      <x:c r="AI79" s="85" t="str">
        <x:v>2026-09-03</x:v>
      </x:c>
      <x:c r="AJ79" s="85" t="str">
        <x:v>https://www.wsmv.com/2026/06/04/how-many-data-centers-are-there-nashville-heres-map-where-theyre-located/</x:v>
      </x:c>
      <x:c r="AK79" s="85"/>
      <x:c r="AL79" s="85" t="str">
        <x:v>https://www.wsmv.com/2026/06/04/how-many-data-centers-are-there-nashville-heres-map-where-theyre-located/</x:v>
      </x:c>
      <x:c r="AM79" s="85" t="str">
        <x:v>Independent list reports 2990 Sidco; Master's 2992 address retained pending review.</x:v>
      </x:c>
      <x:c r="AN79" s="85" t="str">
        <x:v>core_data_center</x:v>
      </x:c>
      <x:c r="AO79" s="86" t="b">
        <x:v>1</x:v>
      </x:c>
      <x:c r="AP79" s="85" t="str">
        <x:v>Lumen</x:v>
      </x:c>
      <x:c r="AQ79" s="85" t="str">
        <x:v>lumen nashville 1</x:v>
      </x:c>
      <x:c r="AR79" s="85" t="str">
        <x:v>2990 sidco drive</x:v>
      </x:c>
    </x:row>
    <x:row r="80">
      <x:c r="A80" s="85" t="str">
        <x:v>scipio_official</x:v>
      </x:c>
      <x:c r="B80" s="85" t="str">
        <x:v>scipio:nashville</x:v>
      </x:c>
      <x:c r="C80" s="85" t="str">
        <x:v>Scipio Technologies Nashville</x:v>
      </x:c>
      <x:c r="D80" s="85"/>
      <x:c r="E80" s="85" t="str">
        <x:v>Scipio Technologies</x:v>
      </x:c>
      <x:c r="F80" s="85"/>
      <x:c r="G80" s="85" t="str">
        <x:v>1661 Murfreesboro Pike</x:v>
      </x:c>
      <x:c r="H80" s="85"/>
      <x:c r="I80" s="85" t="str">
        <x:v>Nashville</x:v>
      </x:c>
      <x:c r="J80" s="85" t="str">
        <x:v>Davidson</x:v>
      </x:c>
      <x:c r="K80" s="85" t="str">
        <x:v>TN</x:v>
      </x:c>
      <x:c r="L80" s="85" t="str">
        <x:v>37217</x:v>
      </x:c>
      <x:c r="M80" s="85"/>
      <x:c r="N80" s="85"/>
      <x:c r="O80" s="85" t="str">
        <x:v>address_or_site</x:v>
      </x:c>
      <x:c r="P80" s="85" t="str">
        <x:v>high</x:v>
      </x:c>
      <x:c r="Q80" s="85" t="str">
        <x:v>Public verification source; Master coordinate retained rather than inferred.</x:v>
      </x:c>
      <x:c r="R80" s="85" t="str">
        <x:v>operational</x:v>
      </x:c>
      <x:c r="S80" s="85" t="str">
        <x:v>operational</x:v>
      </x:c>
      <x:c r="T80" s="85" t="str">
        <x:v>interconnection_facility</x:v>
      </x:c>
      <x:c r="U80" s="85"/>
      <x:c r="V80" s="85"/>
      <x:c r="W80" s="85"/>
      <x:c r="X80" s="85"/>
      <x:c r="Y80" s="85"/>
      <x:c r="Z80" s="85"/>
      <x:c r="AA80" s="85"/>
      <x:c r="AB80" s="85"/>
      <x:c r="AC80" s="85"/>
      <x:c r="AD80" s="85"/>
      <x:c r="AE80" s="85"/>
      <x:c r="AF80" s="85"/>
      <x:c r="AG80" s="85"/>
      <x:c r="AH80" s="85"/>
      <x:c r="AI80" s="85" t="str">
        <x:v>2026-09-03</x:v>
      </x:c>
      <x:c r="AJ80" s="85" t="str">
        <x:v>https://scipiotech.com/support/</x:v>
      </x:c>
      <x:c r="AK80" s="85"/>
      <x:c r="AL80" s="85" t="str">
        <x:v>https://scipiotech.com/support/</x:v>
      </x:c>
      <x:c r="AM80" s="85" t="str">
        <x:v>Official Scipio location verifies legacy Peace/Nexus site.</x:v>
      </x:c>
      <x:c r="AN80" s="85" t="str">
        <x:v>core_data_center</x:v>
      </x:c>
      <x:c r="AO80" s="86" t="b">
        <x:v>1</x:v>
      </x:c>
      <x:c r="AP80" s="85" t="str">
        <x:v>Scipio Technologies</x:v>
      </x:c>
      <x:c r="AQ80" s="85" t="str">
        <x:v>scipio technologies nashville</x:v>
      </x:c>
      <x:c r="AR80" s="85" t="str">
        <x:v>1661 murfreesboro pike</x:v>
      </x:c>
    </x:row>
    <x:row r="81">
      <x:c r="A81" s="85" t="str">
        <x:v>fisk_official</x:v>
      </x:c>
      <x:c r="B81" s="85" t="str">
        <x:v>fisk:quantum-leap</x:v>
      </x:c>
      <x:c r="C81" s="85" t="str">
        <x:v>Quantum Leap Innovation &amp; Technology Center</x:v>
      </x:c>
      <x:c r="D81" s="85"/>
      <x:c r="E81" s="85"/>
      <x:c r="F81" s="85"/>
      <x:c r="G81" s="85" t="str">
        <x:v>1000 17th Ave N</x:v>
      </x:c>
      <x:c r="H81" s="85"/>
      <x:c r="I81" s="85" t="str">
        <x:v>Nashville</x:v>
      </x:c>
      <x:c r="J81" s="85" t="str">
        <x:v>Davidson</x:v>
      </x:c>
      <x:c r="K81" s="85" t="str">
        <x:v>TN</x:v>
      </x:c>
      <x:c r="L81" s="85" t="str">
        <x:v>37208</x:v>
      </x:c>
      <x:c r="M81" s="85"/>
      <x:c r="N81" s="85"/>
      <x:c r="O81" s="85" t="str">
        <x:v>address_or_site</x:v>
      </x:c>
      <x:c r="P81" s="85" t="str">
        <x:v>high</x:v>
      </x:c>
      <x:c r="Q81" s="85" t="str">
        <x:v>Public verification source; Master coordinate retained rather than inferred.</x:v>
      </x:c>
      <x:c r="R81" s="85" t="str">
        <x:v>proposed</x:v>
      </x:c>
      <x:c r="S81" s="85" t="str">
        <x:v>proposed</x:v>
      </x:c>
      <x:c r="T81" s="85" t="str">
        <x:v>data_center</x:v>
      </x:c>
      <x:c r="U81" s="85"/>
      <x:c r="V81" s="85"/>
      <x:c r="W81" s="85"/>
      <x:c r="X81" s="85"/>
      <x:c r="Y81" s="85" t="n">
        <x:v>100000</x:v>
      </x:c>
      <x:c r="Z81" s="85"/>
      <x:c r="AA81" s="85"/>
      <x:c r="AB81" s="85"/>
      <x:c r="AC81" s="85" t="n">
        <x:v>400000000</x:v>
      </x:c>
      <x:c r="AD81" s="85"/>
      <x:c r="AE81" s="85"/>
      <x:c r="AF81" s="85"/>
      <x:c r="AG81" s="85"/>
      <x:c r="AH81" s="85"/>
      <x:c r="AI81" s="85" t="str">
        <x:v>2026-09-03</x:v>
      </x:c>
      <x:c r="AJ81" s="85" t="str">
        <x:v>https://www.fisk.edu/quantumleap/</x:v>
      </x:c>
      <x:c r="AK81" s="85"/>
      <x:c r="AL81" s="85" t="str">
        <x:v>https://www.fisk.edu/quantumleap/</x:v>
      </x:c>
      <x:c r="AM81" s="85" t="str">
        <x:v>Official Fisk project confirms technology center/campus; operating data-center partner not publicly identified.</x:v>
      </x:c>
      <x:c r="AN81" s="85" t="str">
        <x:v>core_data_center</x:v>
      </x:c>
      <x:c r="AO81" s="86" t="b">
        <x:v>1</x:v>
      </x:c>
      <x:c r="AP81" s="85"/>
      <x:c r="AQ81" s="85" t="str">
        <x:v>quantum leap innovation &amp; technology center</x:v>
      </x:c>
      <x:c r="AR81" s="85" t="str">
        <x:v>1000 17th ave n</x:v>
      </x:c>
    </x:row>
    <x:row r="82">
      <x:c r="A82" s="85" t="str">
        <x:v>radiusdc_official</x:v>
      </x:c>
      <x:c r="B82" s="85" t="str">
        <x:v>radiusdc:nashville1-groundbreaking</x:v>
      </x:c>
      <x:c r="C82" s="85" t="str">
        <x:v>RadiusDC Nashville I</x:v>
      </x:c>
      <x:c r="D82" s="85"/>
      <x:c r="E82" s="85" t="str">
        <x:v>RadiusDC</x:v>
      </x:c>
      <x:c r="F82" s="85"/>
      <x:c r="G82" s="85" t="str">
        <x:v>2902 Brick Church Pike</x:v>
      </x:c>
      <x:c r="H82" s="85"/>
      <x:c r="I82" s="85" t="str">
        <x:v>Nashville</x:v>
      </x:c>
      <x:c r="J82" s="85" t="str">
        <x:v>Davidson</x:v>
      </x:c>
      <x:c r="K82" s="85" t="str">
        <x:v>TN</x:v>
      </x:c>
      <x:c r="L82" s="85" t="str">
        <x:v>37207</x:v>
      </x:c>
      <x:c r="M82" s="85"/>
      <x:c r="N82" s="85"/>
      <x:c r="O82" s="85" t="str">
        <x:v>address_or_site</x:v>
      </x:c>
      <x:c r="P82" s="85" t="str">
        <x:v>high</x:v>
      </x:c>
      <x:c r="Q82" s="85" t="str">
        <x:v>Public verification source; Master coordinate retained rather than inferred.</x:v>
      </x:c>
      <x:c r="R82" s="85" t="str">
        <x:v>under_construction</x:v>
      </x:c>
      <x:c r="S82" s="85" t="str">
        <x:v>under_construction</x:v>
      </x:c>
      <x:c r="T82" s="85" t="str">
        <x:v>data_center</x:v>
      </x:c>
      <x:c r="U82" s="85"/>
      <x:c r="V82" s="85" t="n">
        <x:v>12</x:v>
      </x:c>
      <x:c r="W82" s="85"/>
      <x:c r="X82" s="85"/>
      <x:c r="Y82" s="85" t="n">
        <x:v>102500</x:v>
      </x:c>
      <x:c r="Z82" s="85" t="n">
        <x:v>12</x:v>
      </x:c>
      <x:c r="AA82" s="85"/>
      <x:c r="AB82" s="85"/>
      <x:c r="AC82" s="85"/>
      <x:c r="AD82" s="85"/>
      <x:c r="AE82" s="85"/>
      <x:c r="AF82" s="85"/>
      <x:c r="AG82" s="85"/>
      <x:c r="AH82" s="85"/>
      <x:c r="AI82" s="85" t="str">
        <x:v>2026-09-03</x:v>
      </x:c>
      <x:c r="AJ82" s="85" t="str">
        <x:v>https://www.radius-dc.com/newsroom-and-events/radiusdc-breaks-ground-on-largest-data-center-in-nashville</x:v>
      </x:c>
      <x:c r="AK82" s="85"/>
      <x:c r="AL82" s="85" t="str">
        <x:v>https://www.radius-dc.com/newsroom-and-events/radiusdc-breaks-ground-on-largest-data-center-in-nashville</x:v>
      </x:c>
      <x:c r="AM82" s="85" t="str">
        <x:v>Official groundbreaking evidence; independent listing confirms address.</x:v>
      </x:c>
      <x:c r="AN82" s="85" t="str">
        <x:v>core_data_center</x:v>
      </x:c>
      <x:c r="AO82" s="86" t="b">
        <x:v>1</x:v>
      </x:c>
      <x:c r="AP82" s="85" t="str">
        <x:v>RadiusDC</x:v>
      </x:c>
      <x:c r="AQ82" s="85" t="str">
        <x:v>radiusdc nashville i</x:v>
      </x:c>
      <x:c r="AR82" s="85" t="str">
        <x:v>2902 brick church pike</x:v>
      </x:c>
    </x:row>
    <x:row r="83">
      <x:c r="A83" s="85" t="str">
        <x:v>datacenterjournal</x:v>
      </x:c>
      <x:c r="B83" s="85" t="str">
        <x:v>dcj:xo-nashville</x:v>
      </x:c>
      <x:c r="C83" s="85" t="str">
        <x:v>XO Nashville</x:v>
      </x:c>
      <x:c r="D83" s="85"/>
      <x:c r="E83" s="85" t="str">
        <x:v>XO</x:v>
      </x:c>
      <x:c r="F83" s="85"/>
      <x:c r="G83" s="85" t="str">
        <x:v>101 Molloy Street</x:v>
      </x:c>
      <x:c r="H83" s="85"/>
      <x:c r="I83" s="85" t="str">
        <x:v>Nashville</x:v>
      </x:c>
      <x:c r="J83" s="85" t="str">
        <x:v>Davidson</x:v>
      </x:c>
      <x:c r="K83" s="85" t="str">
        <x:v>TN</x:v>
      </x:c>
      <x:c r="L83" s="85" t="str">
        <x:v>37201</x:v>
      </x:c>
      <x:c r="M83" s="85"/>
      <x:c r="N83" s="85"/>
      <x:c r="O83" s="85" t="str">
        <x:v>address_or_site</x:v>
      </x:c>
      <x:c r="P83" s="85" t="str">
        <x:v>high</x:v>
      </x:c>
      <x:c r="Q83" s="85" t="str">
        <x:v>Public verification source; Master coordinate retained rather than inferred.</x:v>
      </x:c>
      <x:c r="R83" s="85" t="str">
        <x:v>operational</x:v>
      </x:c>
      <x:c r="S83" s="85" t="str">
        <x:v>operational</x:v>
      </x:c>
      <x:c r="T83" s="85" t="str">
        <x:v>interconnection_facility</x:v>
      </x:c>
      <x:c r="U83" s="85"/>
      <x:c r="V83" s="85"/>
      <x:c r="W83" s="85"/>
      <x:c r="X83" s="85"/>
      <x:c r="Y83" s="85"/>
      <x:c r="Z83" s="85"/>
      <x:c r="AA83" s="85"/>
      <x:c r="AB83" s="85"/>
      <x:c r="AC83" s="85"/>
      <x:c r="AD83" s="85"/>
      <x:c r="AE83" s="85"/>
      <x:c r="AF83" s="85"/>
      <x:c r="AG83" s="85"/>
      <x:c r="AH83" s="85"/>
      <x:c r="AI83" s="85" t="str">
        <x:v>2026-09-03</x:v>
      </x:c>
      <x:c r="AJ83" s="85" t="str">
        <x:v>https://www.datacenterjournal.com/data-centers/tennessee/hendersonville/xo-nashville/</x:v>
      </x:c>
      <x:c r="AK83" s="85"/>
      <x:c r="AL83" s="85" t="str">
        <x:v>https://www.datacenterjournal.com/data-centers/tennessee/hendersonville/xo-nashville/</x:v>
      </x:c>
      <x:c r="AM83" s="85" t="str">
        <x:v>Independent facility listing confirms XO Nashville at 101 Molloy Street.</x:v>
      </x:c>
      <x:c r="AN83" s="85" t="str">
        <x:v>core_data_center</x:v>
      </x:c>
      <x:c r="AO83" s="86" t="b">
        <x:v>1</x:v>
      </x:c>
      <x:c r="AP83" s="85" t="str">
        <x:v>XO</x:v>
      </x:c>
      <x:c r="AQ83" s="85" t="str">
        <x:v>xo nashville</x:v>
      </x:c>
      <x:c r="AR83" s="85" t="str">
        <x:v>101 molloy street</x:v>
      </x:c>
    </x:row>
    <x:row r="84">
      <x:c r="A84" s="85" t="str">
        <x:v>datacentermap</x:v>
      </x:c>
      <x:c r="B84" s="85" t="str">
        <x:v>datacentermap:databank-209-10th</x:v>
      </x:c>
      <x:c r="C84" s="85" t="str">
        <x:v>DataBank - 209 10th Ave South</x:v>
      </x:c>
      <x:c r="D84" s="85"/>
      <x:c r="E84" s="85" t="str">
        <x:v>DataBank</x:v>
      </x:c>
      <x:c r="F84" s="85"/>
      <x:c r="G84" s="85" t="str">
        <x:v>209 10th Ave South</x:v>
      </x:c>
      <x:c r="H84" s="85"/>
      <x:c r="I84" s="85" t="str">
        <x:v>Nashville</x:v>
      </x:c>
      <x:c r="J84" s="85" t="str">
        <x:v>Davidson</x:v>
      </x:c>
      <x:c r="K84" s="85" t="str">
        <x:v>TN</x:v>
      </x:c>
      <x:c r="L84" s="85" t="str">
        <x:v>37203</x:v>
      </x:c>
      <x:c r="M84" s="85"/>
      <x:c r="N84" s="85"/>
      <x:c r="O84" s="85" t="str">
        <x:v>address_or_site</x:v>
      </x:c>
      <x:c r="P84" s="85" t="str">
        <x:v>high</x:v>
      </x:c>
      <x:c r="Q84" s="85" t="str">
        <x:v>Public verification source; Master coordinate retained rather than inferred.</x:v>
      </x:c>
      <x:c r="R84" s="85" t="str">
        <x:v>operational</x:v>
      </x:c>
      <x:c r="S84" s="85" t="str">
        <x:v>operational</x:v>
      </x:c>
      <x:c r="T84" s="85" t="str">
        <x:v>interconnection_facility</x:v>
      </x:c>
      <x:c r="U84" s="85"/>
      <x:c r="V84" s="85"/>
      <x:c r="W84" s="85"/>
      <x:c r="X84" s="85"/>
      <x:c r="Y84" s="85"/>
      <x:c r="Z84" s="85"/>
      <x:c r="AA84" s="85"/>
      <x:c r="AB84" s="85"/>
      <x:c r="AC84" s="85"/>
      <x:c r="AD84" s="85"/>
      <x:c r="AE84" s="85"/>
      <x:c r="AF84" s="85"/>
      <x:c r="AG84" s="85"/>
      <x:c r="AH84" s="85"/>
      <x:c r="AI84" s="85" t="str">
        <x:v>2026-09-03</x:v>
      </x:c>
      <x:c r="AJ84" s="85" t="str">
        <x:v>https://www.datacentermap.com/usa/tennessee/nashville/zcolo-209-10th-ave-south/</x:v>
      </x:c>
      <x:c r="AK84" s="85"/>
      <x:c r="AL84" s="85" t="str">
        <x:v>https://www.datacentermap.com/usa/tennessee/nashville/zcolo-209-10th-ave-south/</x:v>
      </x:c>
      <x:c r="AM84" s="85" t="str">
        <x:v>DataCenterMap documents DataBank acquisition of Zayo/zColo data-center assets in 2020.</x:v>
      </x:c>
      <x:c r="AN84" s="85" t="str">
        <x:v>core_data_center</x:v>
      </x:c>
      <x:c r="AO84" s="86" t="b">
        <x:v>1</x:v>
      </x:c>
      <x:c r="AP84" s="85" t="str">
        <x:v>DataBank</x:v>
      </x:c>
      <x:c r="AQ84" s="85" t="str">
        <x:v>databank - 209 10th ave south</x:v>
      </x:c>
      <x:c r="AR84" s="85" t="str">
        <x:v>209 10th ave south</x:v>
      </x:c>
    </x:row>
    <x:row r="85">
      <x:c r="A85" t="str">
        <x:v>lcub.com</x:v>
      </x:c>
      <x:c r="B85" t="str">
        <x:v>verification:tndc-046:01</x:v>
      </x:c>
      <x:c r="C85" t="str">
        <x:v>LCUB Data Center</x:v>
      </x:c>
      <x:c r="D85"/>
      <x:c r="E85" t="str">
        <x:v>Lenoir City Utilities Board</x:v>
      </x:c>
      <x:c r="F85"/>
      <x:c r="G85" t="str">
        <x:v>7698 Creekwood Park Blvd</x:v>
      </x:c>
      <x:c r="H85"/>
      <x:c r="I85" t="str">
        <x:v>Lenoir City</x:v>
      </x:c>
      <x:c r="J85" t="str">
        <x:v>Loudon</x:v>
      </x:c>
      <x:c r="K85" t="str">
        <x:v>TN</x:v>
      </x:c>
      <x:c r="L85" t="str">
        <x:v>37772</x:v>
      </x:c>
      <x:c r="M85" t="n">
        <x:v>35.840815</x:v>
      </x:c>
      <x:c r="N85" t="n">
        <x:v>-84.265703</x:v>
      </x:c>
      <x:c r="O85" t="str">
        <x:v>address_or_site</x:v>
      </x:c>
      <x:c r="P85" t="str">
        <x:v>high</x:v>
      </x:c>
      <x:c r="Q85" t="str">
        <x:v>Public-source verification; unknown coordinates were not inferred.</x:v>
      </x:c>
      <x:c r="R85" t="str">
        <x:v>operational</x:v>
      </x:c>
      <x:c r="S85" t="str">
        <x:v>operational</x:v>
      </x:c>
      <x:c r="T85" t="str">
        <x:v>data_center</x:v>
      </x:c>
      <x:c r="U85"/>
      <x:c r="V85"/>
      <x:c r="W85"/>
      <x:c r="X85"/>
      <x:c r="Y85"/>
      <x:c r="Z85"/>
      <x:c r="AA85"/>
      <x:c r="AB85"/>
      <x:c r="AC85"/>
      <x:c r="AD85"/>
      <x:c r="AE85"/>
      <x:c r="AF85"/>
      <x:c r="AG85"/>
      <x:c r="AH85"/>
      <x:c r="AI85" t="str">
        <x:v>2026-09-03</x:v>
      </x:c>
      <x:c r="AJ85" s="85" t="str">
        <x:v>https://www.lcub.com/data-center/</x:v>
      </x:c>
      <x:c r="AK85" s="85" t="str">
        <x:v>https://www.lcub.com/data-center/</x:v>
      </x:c>
      <x:c r="AL85" s="85" t="str">
        <x:v>https://www.lcub.com/data-center/</x:v>
      </x:c>
      <x:c r="AM85" s="85" t="str">
        <x:v>Utility-operated colocation/data-center facility; coordinates are source-published by PeeringDB.</x:v>
      </x:c>
      <x:c r="AN85" t="str">
        <x:v>core_data_center</x:v>
      </x:c>
      <x:c r="AO85" s="76" t="b">
        <x:v>1</x:v>
      </x:c>
      <x:c r="AP85" t="str">
        <x:v>Lenoir City Utilities Board</x:v>
      </x:c>
      <x:c r="AQ85" t="str">
        <x:v>lcub data center</x:v>
      </x:c>
      <x:c r="AR85" t="str">
        <x:v>7698 creekwood park blvd</x:v>
      </x:c>
    </x:row>
    <x:row r="86">
      <x:c r="A86" t="str">
        <x:v>peeringdb.com</x:v>
      </x:c>
      <x:c r="B86" t="str">
        <x:v>verification:tndc-046:02</x:v>
      </x:c>
      <x:c r="C86" t="str">
        <x:v>LCUB Data Center</x:v>
      </x:c>
      <x:c r="D86"/>
      <x:c r="E86" t="str">
        <x:v>Lenoir City Utilities Board</x:v>
      </x:c>
      <x:c r="F86"/>
      <x:c r="G86" t="str">
        <x:v>7698 Creekwood Park Blvd</x:v>
      </x:c>
      <x:c r="H86"/>
      <x:c r="I86" t="str">
        <x:v>Lenoir City</x:v>
      </x:c>
      <x:c r="J86" t="str">
        <x:v>Loudon</x:v>
      </x:c>
      <x:c r="K86" t="str">
        <x:v>TN</x:v>
      </x:c>
      <x:c r="L86" t="str">
        <x:v>37772</x:v>
      </x:c>
      <x:c r="M86" t="n">
        <x:v>35.840815</x:v>
      </x:c>
      <x:c r="N86" t="n">
        <x:v>-84.265703</x:v>
      </x:c>
      <x:c r="O86" t="str">
        <x:v>address_or_site</x:v>
      </x:c>
      <x:c r="P86" t="str">
        <x:v>high</x:v>
      </x:c>
      <x:c r="Q86" t="str">
        <x:v>Public-source verification; unknown coordinates were not inferred.</x:v>
      </x:c>
      <x:c r="R86" t="str">
        <x:v>operational</x:v>
      </x:c>
      <x:c r="S86" t="str">
        <x:v>operational</x:v>
      </x:c>
      <x:c r="T86" t="str">
        <x:v>data_center</x:v>
      </x:c>
      <x:c r="U86"/>
      <x:c r="V86"/>
      <x:c r="W86"/>
      <x:c r="X86"/>
      <x:c r="Y86"/>
      <x:c r="Z86"/>
      <x:c r="AA86"/>
      <x:c r="AB86"/>
      <x:c r="AC86"/>
      <x:c r="AD86"/>
      <x:c r="AE86"/>
      <x:c r="AF86"/>
      <x:c r="AG86"/>
      <x:c r="AH86"/>
      <x:c r="AI86" t="str">
        <x:v>2026-09-03</x:v>
      </x:c>
      <x:c r="AJ86" s="85" t="str">
        <x:v>https://www.peeringdb.com/fac/17123</x:v>
      </x:c>
      <x:c r="AK86" s="85" t="str">
        <x:v>https://www.peeringdb.com/fac/17123</x:v>
      </x:c>
      <x:c r="AL86" s="85" t="str">
        <x:v>https://www.peeringdb.com/fac/17123</x:v>
      </x:c>
      <x:c r="AM86" s="85" t="str">
        <x:v>Utility-operated colocation/data-center facility; coordinates are source-published by PeeringDB.</x:v>
      </x:c>
      <x:c r="AN86" t="str">
        <x:v>core_data_center</x:v>
      </x:c>
      <x:c r="AO86" s="76" t="b">
        <x:v>1</x:v>
      </x:c>
      <x:c r="AP86" t="str">
        <x:v>Lenoir City Utilities Board</x:v>
      </x:c>
      <x:c r="AQ86" t="str">
        <x:v>lcub data center</x:v>
      </x:c>
      <x:c r="AR86" t="str">
        <x:v>7698 creekwood park blvd</x:v>
      </x:c>
    </x:row>
    <x:row r="87">
      <x:c r="A87" t="str">
        <x:v>datacentermap.com</x:v>
      </x:c>
      <x:c r="B87" t="str">
        <x:v>verification:tndc-046:03</x:v>
      </x:c>
      <x:c r="C87" t="str">
        <x:v>LCUB Data Center</x:v>
      </x:c>
      <x:c r="D87"/>
      <x:c r="E87" t="str">
        <x:v>Lenoir City Utilities Board</x:v>
      </x:c>
      <x:c r="F87"/>
      <x:c r="G87" t="str">
        <x:v>7698 Creekwood Park Blvd</x:v>
      </x:c>
      <x:c r="H87"/>
      <x:c r="I87" t="str">
        <x:v>Lenoir City</x:v>
      </x:c>
      <x:c r="J87" t="str">
        <x:v>Loudon</x:v>
      </x:c>
      <x:c r="K87" t="str">
        <x:v>TN</x:v>
      </x:c>
      <x:c r="L87" t="str">
        <x:v>37772</x:v>
      </x:c>
      <x:c r="M87" t="n">
        <x:v>35.840815</x:v>
      </x:c>
      <x:c r="N87" t="n">
        <x:v>-84.265703</x:v>
      </x:c>
      <x:c r="O87" t="str">
        <x:v>address_or_site</x:v>
      </x:c>
      <x:c r="P87" t="str">
        <x:v>high</x:v>
      </x:c>
      <x:c r="Q87" t="str">
        <x:v>Public-source verification; unknown coordinates were not inferred.</x:v>
      </x:c>
      <x:c r="R87" t="str">
        <x:v>operational</x:v>
      </x:c>
      <x:c r="S87" t="str">
        <x:v>operational</x:v>
      </x:c>
      <x:c r="T87" t="str">
        <x:v>data_center</x:v>
      </x:c>
      <x:c r="U87"/>
      <x:c r="V87"/>
      <x:c r="W87"/>
      <x:c r="X87"/>
      <x:c r="Y87"/>
      <x:c r="Z87"/>
      <x:c r="AA87"/>
      <x:c r="AB87"/>
      <x:c r="AC87"/>
      <x:c r="AD87"/>
      <x:c r="AE87"/>
      <x:c r="AF87"/>
      <x:c r="AG87"/>
      <x:c r="AH87"/>
      <x:c r="AI87" t="str">
        <x:v>2026-09-03</x:v>
      </x:c>
      <x:c r="AJ87" s="85" t="str">
        <x:v>https://www.datacentermap.com/usa/tennessee/lenoir-city/</x:v>
      </x:c>
      <x:c r="AK87" s="85" t="str">
        <x:v>https://www.datacentermap.com/usa/tennessee/lenoir-city/</x:v>
      </x:c>
      <x:c r="AL87" s="85" t="str">
        <x:v>https://www.datacentermap.com/usa/tennessee/lenoir-city/</x:v>
      </x:c>
      <x:c r="AM87" s="85" t="str">
        <x:v>Utility-operated colocation/data-center facility; coordinates are source-published by PeeringDB.</x:v>
      </x:c>
      <x:c r="AN87" t="str">
        <x:v>core_data_center</x:v>
      </x:c>
      <x:c r="AO87" s="76" t="b">
        <x:v>1</x:v>
      </x:c>
      <x:c r="AP87" t="str">
        <x:v>Lenoir City Utilities Board</x:v>
      </x:c>
      <x:c r="AQ87" t="str">
        <x:v>lcub data center</x:v>
      </x:c>
      <x:c r="AR87" t="str">
        <x:v>7698 creekwood park blvd</x:v>
      </x:c>
    </x:row>
    <x:row r="88">
      <x:c r="A88" t="str">
        <x:v>tenhats.com</x:v>
      </x:c>
      <x:c r="B88" t="str">
        <x:v>verification:tndc-047:01</x:v>
      </x:c>
      <x:c r="C88" t="str">
        <x:v>TenHats Knoxville Data Center</x:v>
      </x:c>
      <x:c r="D88"/>
      <x:c r="E88" t="str">
        <x:v>TenHats</x:v>
      </x:c>
      <x:c r="F88"/>
      <x:c r="G88" t="str">
        <x:v>550 Fort Summit Way</x:v>
      </x:c>
      <x:c r="H88"/>
      <x:c r="I88" t="str">
        <x:v>Knoxville</x:v>
      </x:c>
      <x:c r="J88" t="str">
        <x:v>Knox</x:v>
      </x:c>
      <x:c r="K88" t="str">
        <x:v>TN</x:v>
      </x:c>
      <x:c r="L88" t="str">
        <x:v>37915</x:v>
      </x:c>
      <x:c r="M88"/>
      <x:c r="N88"/>
      <x:c r="O88" t="str">
        <x:v>address_or_site</x:v>
      </x:c>
      <x:c r="P88" t="str">
        <x:v>high</x:v>
      </x:c>
      <x:c r="Q88" t="str">
        <x:v>Public-source verification; unknown coordinates were not inferred.</x:v>
      </x:c>
      <x:c r="R88" t="str">
        <x:v>operational</x:v>
      </x:c>
      <x:c r="S88" t="str">
        <x:v>operational</x:v>
      </x:c>
      <x:c r="T88" t="str">
        <x:v>data_center</x:v>
      </x:c>
      <x:c r="U88"/>
      <x:c r="V88"/>
      <x:c r="W88"/>
      <x:c r="X88"/>
      <x:c r="Y88" t="n">
        <x:v>10000</x:v>
      </x:c>
      <x:c r="Z88"/>
      <x:c r="AA88"/>
      <x:c r="AB88"/>
      <x:c r="AC88"/>
      <x:c r="AD88"/>
      <x:c r="AE88"/>
      <x:c r="AF88"/>
      <x:c r="AG88"/>
      <x:c r="AH88"/>
      <x:c r="AI88" t="str">
        <x:v>2026-09-03</x:v>
      </x:c>
      <x:c r="AJ88" s="85" t="str">
        <x:v>https://tenhats.com/data-center/</x:v>
      </x:c>
      <x:c r="AK88" s="85" t="str">
        <x:v>https://tenhats.com/data-center/</x:v>
      </x:c>
      <x:c r="AL88" s="85" t="str">
        <x:v>https://tenhats.com/data-center/</x:v>
      </x:c>
      <x:c r="AM88" s="85" t="str">
        <x:v>Current operator materials and Knox County identify this operating facility; legacy SH Data name is retained.</x:v>
      </x:c>
      <x:c r="AN88" t="str">
        <x:v>core_data_center</x:v>
      </x:c>
      <x:c r="AO88" s="76" t="b">
        <x:v>1</x:v>
      </x:c>
      <x:c r="AP88" t="str">
        <x:v>TenHats</x:v>
      </x:c>
      <x:c r="AQ88" t="str">
        <x:v>tenhats knoxville data center</x:v>
      </x:c>
      <x:c r="AR88" t="str">
        <x:v>550 fort summit way</x:v>
      </x:c>
    </x:row>
    <x:row r="89">
      <x:c r="A89" t="str">
        <x:v>tenhats.com</x:v>
      </x:c>
      <x:c r="B89" t="str">
        <x:v>verification:tndc-047:02</x:v>
      </x:c>
      <x:c r="C89" t="str">
        <x:v>TenHats Knoxville Data Center</x:v>
      </x:c>
      <x:c r="D89"/>
      <x:c r="E89" t="str">
        <x:v>TenHats</x:v>
      </x:c>
      <x:c r="F89"/>
      <x:c r="G89" t="str">
        <x:v>550 Fort Summit Way</x:v>
      </x:c>
      <x:c r="H89"/>
      <x:c r="I89" t="str">
        <x:v>Knoxville</x:v>
      </x:c>
      <x:c r="J89" t="str">
        <x:v>Knox</x:v>
      </x:c>
      <x:c r="K89" t="str">
        <x:v>TN</x:v>
      </x:c>
      <x:c r="L89" t="str">
        <x:v>37915</x:v>
      </x:c>
      <x:c r="M89"/>
      <x:c r="N89"/>
      <x:c r="O89" t="str">
        <x:v>address_or_site</x:v>
      </x:c>
      <x:c r="P89" t="str">
        <x:v>high</x:v>
      </x:c>
      <x:c r="Q89" t="str">
        <x:v>Public-source verification; unknown coordinates were not inferred.</x:v>
      </x:c>
      <x:c r="R89" t="str">
        <x:v>operational</x:v>
      </x:c>
      <x:c r="S89" t="str">
        <x:v>operational</x:v>
      </x:c>
      <x:c r="T89" t="str">
        <x:v>data_center</x:v>
      </x:c>
      <x:c r="U89"/>
      <x:c r="V89"/>
      <x:c r="W89"/>
      <x:c r="X89"/>
      <x:c r="Y89" t="n">
        <x:v>10000</x:v>
      </x:c>
      <x:c r="Z89"/>
      <x:c r="AA89"/>
      <x:c r="AB89"/>
      <x:c r="AC89"/>
      <x:c r="AD89"/>
      <x:c r="AE89"/>
      <x:c r="AF89"/>
      <x:c r="AG89"/>
      <x:c r="AH89"/>
      <x:c r="AI89" t="str">
        <x:v>2026-09-03</x:v>
      </x:c>
      <x:c r="AJ89" s="85" t="str">
        <x:v>https://tenhats.com/wp-content/uploads/2024/08/TH_DC-Customer-Rules-and-Responsibilities_2024.pdf</x:v>
      </x:c>
      <x:c r="AK89" s="85" t="str">
        <x:v>https://tenhats.com/wp-content/uploads/2024/08/TH_DC-Customer-Rules-and-Responsibilities_2024.pdf</x:v>
      </x:c>
      <x:c r="AL89" s="85" t="str">
        <x:v>https://tenhats.com/wp-content/uploads/2024/08/TH_DC-Customer-Rules-and-Responsibilities_2024.pdf</x:v>
      </x:c>
      <x:c r="AM89" s="85" t="str">
        <x:v>Current operator materials and Knox County identify this operating facility; legacy SH Data name is retained.</x:v>
      </x:c>
      <x:c r="AN89" t="str">
        <x:v>core_data_center</x:v>
      </x:c>
      <x:c r="AO89" s="76" t="b">
        <x:v>1</x:v>
      </x:c>
      <x:c r="AP89" t="str">
        <x:v>TenHats</x:v>
      </x:c>
      <x:c r="AQ89" t="str">
        <x:v>tenhats knoxville data center</x:v>
      </x:c>
      <x:c r="AR89" t="str">
        <x:v>550 fort summit way</x:v>
      </x:c>
    </x:row>
    <x:row r="90">
      <x:c r="A90" t="str">
        <x:v>datacentermap.com</x:v>
      </x:c>
      <x:c r="B90" t="str">
        <x:v>verification:tndc-047:03</x:v>
      </x:c>
      <x:c r="C90" t="str">
        <x:v>TenHats Knoxville Data Center</x:v>
      </x:c>
      <x:c r="D90"/>
      <x:c r="E90" t="str">
        <x:v>TenHats</x:v>
      </x:c>
      <x:c r="F90"/>
      <x:c r="G90" t="str">
        <x:v>550 Fort Summit Way</x:v>
      </x:c>
      <x:c r="H90"/>
      <x:c r="I90" t="str">
        <x:v>Knoxville</x:v>
      </x:c>
      <x:c r="J90" t="str">
        <x:v>Knox</x:v>
      </x:c>
      <x:c r="K90" t="str">
        <x:v>TN</x:v>
      </x:c>
      <x:c r="L90" t="str">
        <x:v>37915</x:v>
      </x:c>
      <x:c r="M90"/>
      <x:c r="N90"/>
      <x:c r="O90" t="str">
        <x:v>address_or_site</x:v>
      </x:c>
      <x:c r="P90" t="str">
        <x:v>high</x:v>
      </x:c>
      <x:c r="Q90" t="str">
        <x:v>Public-source verification; unknown coordinates were not inferred.</x:v>
      </x:c>
      <x:c r="R90" t="str">
        <x:v>operational</x:v>
      </x:c>
      <x:c r="S90" t="str">
        <x:v>operational</x:v>
      </x:c>
      <x:c r="T90" t="str">
        <x:v>data_center</x:v>
      </x:c>
      <x:c r="U90"/>
      <x:c r="V90"/>
      <x:c r="W90"/>
      <x:c r="X90"/>
      <x:c r="Y90" t="n">
        <x:v>10000</x:v>
      </x:c>
      <x:c r="Z90"/>
      <x:c r="AA90"/>
      <x:c r="AB90"/>
      <x:c r="AC90"/>
      <x:c r="AD90"/>
      <x:c r="AE90"/>
      <x:c r="AF90"/>
      <x:c r="AG90"/>
      <x:c r="AH90"/>
      <x:c r="AI90" t="str">
        <x:v>2026-09-03</x:v>
      </x:c>
      <x:c r="AJ90" s="85" t="str">
        <x:v>https://www.datacentermap.com/usa/tennessee/knoxville/the-fort/</x:v>
      </x:c>
      <x:c r="AK90" s="85" t="str">
        <x:v>https://www.datacentermap.com/usa/tennessee/knoxville/the-fort/</x:v>
      </x:c>
      <x:c r="AL90" s="85" t="str">
        <x:v>https://www.datacentermap.com/usa/tennessee/knoxville/the-fort/</x:v>
      </x:c>
      <x:c r="AM90" s="85" t="str">
        <x:v>Current operator materials and Knox County identify this operating facility; legacy SH Data name is retained.</x:v>
      </x:c>
      <x:c r="AN90" t="str">
        <x:v>core_data_center</x:v>
      </x:c>
      <x:c r="AO90" s="76" t="b">
        <x:v>1</x:v>
      </x:c>
      <x:c r="AP90" t="str">
        <x:v>TenHats</x:v>
      </x:c>
      <x:c r="AQ90" t="str">
        <x:v>tenhats knoxville data center</x:v>
      </x:c>
      <x:c r="AR90" t="str">
        <x:v>550 fort summit way</x:v>
      </x:c>
    </x:row>
    <x:row r="91">
      <x:c r="A91" t="str">
        <x:v>commission.knoxcountytn.gov</x:v>
      </x:c>
      <x:c r="B91" t="str">
        <x:v>verification:tndc-047:04</x:v>
      </x:c>
      <x:c r="C91" t="str">
        <x:v>TenHats Knoxville Data Center</x:v>
      </x:c>
      <x:c r="D91"/>
      <x:c r="E91" t="str">
        <x:v>TenHats</x:v>
      </x:c>
      <x:c r="F91"/>
      <x:c r="G91" t="str">
        <x:v>550 Fort Summit Way</x:v>
      </x:c>
      <x:c r="H91"/>
      <x:c r="I91" t="str">
        <x:v>Knoxville</x:v>
      </x:c>
      <x:c r="J91" t="str">
        <x:v>Knox</x:v>
      </x:c>
      <x:c r="K91" t="str">
        <x:v>TN</x:v>
      </x:c>
      <x:c r="L91" t="str">
        <x:v>37915</x:v>
      </x:c>
      <x:c r="M91"/>
      <x:c r="N91"/>
      <x:c r="O91" t="str">
        <x:v>address_or_site</x:v>
      </x:c>
      <x:c r="P91" t="str">
        <x:v>high</x:v>
      </x:c>
      <x:c r="Q91" t="str">
        <x:v>Public-source verification; unknown coordinates were not inferred.</x:v>
      </x:c>
      <x:c r="R91" t="str">
        <x:v>operational</x:v>
      </x:c>
      <x:c r="S91" t="str">
        <x:v>operational</x:v>
      </x:c>
      <x:c r="T91" t="str">
        <x:v>data_center</x:v>
      </x:c>
      <x:c r="U91"/>
      <x:c r="V91"/>
      <x:c r="W91"/>
      <x:c r="X91"/>
      <x:c r="Y91" t="n">
        <x:v>10000</x:v>
      </x:c>
      <x:c r="Z91"/>
      <x:c r="AA91"/>
      <x:c r="AB91"/>
      <x:c r="AC91"/>
      <x:c r="AD91"/>
      <x:c r="AE91"/>
      <x:c r="AF91"/>
      <x:c r="AG91"/>
      <x:c r="AH91"/>
      <x:c r="AI91" t="str">
        <x:v>2026-09-03</x:v>
      </x:c>
      <x:c r="AJ91" s="85" t="str">
        <x:v>https://commission.knoxcountytn.gov/forums/topic/data-center-moratorium/</x:v>
      </x:c>
      <x:c r="AK91" s="85" t="str">
        <x:v>https://commission.knoxcountytn.gov/forums/topic/data-center-moratorium/</x:v>
      </x:c>
      <x:c r="AL91" s="85" t="str">
        <x:v>https://commission.knoxcountytn.gov/forums/topic/data-center-moratorium/</x:v>
      </x:c>
      <x:c r="AM91" s="85" t="str">
        <x:v>Current operator materials and Knox County identify this operating facility; legacy SH Data name is retained.</x:v>
      </x:c>
      <x:c r="AN91" t="str">
        <x:v>core_data_center</x:v>
      </x:c>
      <x:c r="AO91" s="76" t="b">
        <x:v>1</x:v>
      </x:c>
      <x:c r="AP91" t="str">
        <x:v>TenHats</x:v>
      </x:c>
      <x:c r="AQ91" t="str">
        <x:v>tenhats knoxville data center</x:v>
      </x:c>
      <x:c r="AR91" t="str">
        <x:v>550 fort summit way</x:v>
      </x:c>
    </x:row>
    <x:row r="92">
      <x:c r="A92" t="str">
        <x:v>infinitydatacenter.com</x:v>
      </x:c>
      <x:c r="B92" t="str">
        <x:v>verification:tndc-048:01</x:v>
      </x:c>
      <x:c r="C92" t="str">
        <x:v>Infinity Data Center</x:v>
      </x:c>
      <x:c r="D92"/>
      <x:c r="E92" t="str">
        <x:v>Infinity Data Center</x:v>
      </x:c>
      <x:c r="F92"/>
      <x:c r="G92" t="str">
        <x:v>2575 Willow Point Way, Suite 103</x:v>
      </x:c>
      <x:c r="H92"/>
      <x:c r="I92" t="str">
        <x:v>Knoxville</x:v>
      </x:c>
      <x:c r="J92" t="str">
        <x:v>Knox</x:v>
      </x:c>
      <x:c r="K92" t="str">
        <x:v>TN</x:v>
      </x:c>
      <x:c r="L92" t="str">
        <x:v>37931</x:v>
      </x:c>
      <x:c r="M92" t="n">
        <x:v>35.9585</x:v>
      </x:c>
      <x:c r="N92" t="n">
        <x:v>-84.1392</x:v>
      </x:c>
      <x:c r="O92" t="str">
        <x:v>address_or_site</x:v>
      </x:c>
      <x:c r="P92" t="str">
        <x:v>high</x:v>
      </x:c>
      <x:c r="Q92" t="str">
        <x:v>Public-source verification; unknown coordinates were not inferred.</x:v>
      </x:c>
      <x:c r="R92" t="str">
        <x:v>operational</x:v>
      </x:c>
      <x:c r="S92" t="str">
        <x:v>operational</x:v>
      </x:c>
      <x:c r="T92" t="str">
        <x:v>data_center</x:v>
      </x:c>
      <x:c r="U92"/>
      <x:c r="V92"/>
      <x:c r="W92"/>
      <x:c r="X92"/>
      <x:c r="Y92"/>
      <x:c r="Z92"/>
      <x:c r="AA92"/>
      <x:c r="AB92"/>
      <x:c r="AC92"/>
      <x:c r="AD92"/>
      <x:c r="AE92"/>
      <x:c r="AF92"/>
      <x:c r="AG92"/>
      <x:c r="AH92"/>
      <x:c r="AI92" t="str">
        <x:v>2026-09-03</x:v>
      </x:c>
      <x:c r="AJ92" s="85" t="str">
        <x:v>https://www.infinitydatacenter.com/</x:v>
      </x:c>
      <x:c r="AK92" s="85" t="str">
        <x:v>https://www.infinitydatacenter.com/</x:v>
      </x:c>
      <x:c r="AL92" s="85" t="str">
        <x:v>https://www.infinitydatacenter.com/</x:v>
      </x:c>
      <x:c r="AM92" s="85" t="str">
        <x:v>Operator describes the Knoxville facility as operating since 2007; current county and industry sources corroborate the site.</x:v>
      </x:c>
      <x:c r="AN92" t="str">
        <x:v>core_data_center</x:v>
      </x:c>
      <x:c r="AO92" s="76" t="b">
        <x:v>1</x:v>
      </x:c>
      <x:c r="AP92" t="str">
        <x:v>Infinity Data Center</x:v>
      </x:c>
      <x:c r="AQ92" t="str">
        <x:v>infinity data center</x:v>
      </x:c>
      <x:c r="AR92" t="str">
        <x:v>2575 willow point way, suite 103</x:v>
      </x:c>
    </x:row>
    <x:row r="93">
      <x:c r="A93" t="str">
        <x:v>infinitydatacenter.com</x:v>
      </x:c>
      <x:c r="B93" t="str">
        <x:v>verification:tndc-048:02</x:v>
      </x:c>
      <x:c r="C93" t="str">
        <x:v>Infinity Data Center</x:v>
      </x:c>
      <x:c r="D93"/>
      <x:c r="E93" t="str">
        <x:v>Infinity Data Center</x:v>
      </x:c>
      <x:c r="F93"/>
      <x:c r="G93" t="str">
        <x:v>2575 Willow Point Way, Suite 103</x:v>
      </x:c>
      <x:c r="H93"/>
      <x:c r="I93" t="str">
        <x:v>Knoxville</x:v>
      </x:c>
      <x:c r="J93" t="str">
        <x:v>Knox</x:v>
      </x:c>
      <x:c r="K93" t="str">
        <x:v>TN</x:v>
      </x:c>
      <x:c r="L93" t="str">
        <x:v>37931</x:v>
      </x:c>
      <x:c r="M93" t="n">
        <x:v>35.9585</x:v>
      </x:c>
      <x:c r="N93" t="n">
        <x:v>-84.1392</x:v>
      </x:c>
      <x:c r="O93" t="str">
        <x:v>address_or_site</x:v>
      </x:c>
      <x:c r="P93" t="str">
        <x:v>high</x:v>
      </x:c>
      <x:c r="Q93" t="str">
        <x:v>Public-source verification; unknown coordinates were not inferred.</x:v>
      </x:c>
      <x:c r="R93" t="str">
        <x:v>operational</x:v>
      </x:c>
      <x:c r="S93" t="str">
        <x:v>operational</x:v>
      </x:c>
      <x:c r="T93" t="str">
        <x:v>data_center</x:v>
      </x:c>
      <x:c r="U93"/>
      <x:c r="V93"/>
      <x:c r="W93"/>
      <x:c r="X93"/>
      <x:c r="Y93"/>
      <x:c r="Z93"/>
      <x:c r="AA93"/>
      <x:c r="AB93"/>
      <x:c r="AC93"/>
      <x:c r="AD93"/>
      <x:c r="AE93"/>
      <x:c r="AF93"/>
      <x:c r="AG93"/>
      <x:c r="AH93"/>
      <x:c r="AI93" t="str">
        <x:v>2026-09-03</x:v>
      </x:c>
      <x:c r="AJ93" s="85" t="str">
        <x:v>https://www.infinitydatacenter.com/about-infinity-data-center.php</x:v>
      </x:c>
      <x:c r="AK93" s="85" t="str">
        <x:v>https://www.infinitydatacenter.com/about-infinity-data-center.php</x:v>
      </x:c>
      <x:c r="AL93" s="85" t="str">
        <x:v>https://www.infinitydatacenter.com/about-infinity-data-center.php</x:v>
      </x:c>
      <x:c r="AM93" s="85" t="str">
        <x:v>Operator describes the Knoxville facility as operating since 2007; current county and industry sources corroborate the site.</x:v>
      </x:c>
      <x:c r="AN93" t="str">
        <x:v>core_data_center</x:v>
      </x:c>
      <x:c r="AO93" s="76" t="b">
        <x:v>1</x:v>
      </x:c>
      <x:c r="AP93" t="str">
        <x:v>Infinity Data Center</x:v>
      </x:c>
      <x:c r="AQ93" t="str">
        <x:v>infinity data center</x:v>
      </x:c>
      <x:c r="AR93" t="str">
        <x:v>2575 willow point way, suite 103</x:v>
      </x:c>
    </x:row>
    <x:row r="94">
      <x:c r="A94" t="str">
        <x:v>datacentermap.com</x:v>
      </x:c>
      <x:c r="B94" t="str">
        <x:v>verification:tndc-048:03</x:v>
      </x:c>
      <x:c r="C94" t="str">
        <x:v>Infinity Data Center</x:v>
      </x:c>
      <x:c r="D94"/>
      <x:c r="E94" t="str">
        <x:v>Infinity Data Center</x:v>
      </x:c>
      <x:c r="F94"/>
      <x:c r="G94" t="str">
        <x:v>2575 Willow Point Way, Suite 103</x:v>
      </x:c>
      <x:c r="H94"/>
      <x:c r="I94" t="str">
        <x:v>Knoxville</x:v>
      </x:c>
      <x:c r="J94" t="str">
        <x:v>Knox</x:v>
      </x:c>
      <x:c r="K94" t="str">
        <x:v>TN</x:v>
      </x:c>
      <x:c r="L94" t="str">
        <x:v>37931</x:v>
      </x:c>
      <x:c r="M94" t="n">
        <x:v>35.9585</x:v>
      </x:c>
      <x:c r="N94" t="n">
        <x:v>-84.1392</x:v>
      </x:c>
      <x:c r="O94" t="str">
        <x:v>address_or_site</x:v>
      </x:c>
      <x:c r="P94" t="str">
        <x:v>high</x:v>
      </x:c>
      <x:c r="Q94" t="str">
        <x:v>Public-source verification; unknown coordinates were not inferred.</x:v>
      </x:c>
      <x:c r="R94" t="str">
        <x:v>operational</x:v>
      </x:c>
      <x:c r="S94" t="str">
        <x:v>operational</x:v>
      </x:c>
      <x:c r="T94" t="str">
        <x:v>data_center</x:v>
      </x:c>
      <x:c r="U94"/>
      <x:c r="V94"/>
      <x:c r="W94"/>
      <x:c r="X94"/>
      <x:c r="Y94"/>
      <x:c r="Z94"/>
      <x:c r="AA94"/>
      <x:c r="AB94"/>
      <x:c r="AC94"/>
      <x:c r="AD94"/>
      <x:c r="AE94"/>
      <x:c r="AF94"/>
      <x:c r="AG94"/>
      <x:c r="AH94"/>
      <x:c r="AI94" t="str">
        <x:v>2026-09-03</x:v>
      </x:c>
      <x:c r="AJ94" s="85" t="str">
        <x:v>https://www.datacentermap.com/usa/tennessee/knoxville/infinity-data-center/ecosystem/</x:v>
      </x:c>
      <x:c r="AK94" s="85" t="str">
        <x:v>https://www.datacentermap.com/usa/tennessee/knoxville/infinity-data-center/ecosystem/</x:v>
      </x:c>
      <x:c r="AL94" s="85" t="str">
        <x:v>https://www.datacentermap.com/usa/tennessee/knoxville/infinity-data-center/ecosystem/</x:v>
      </x:c>
      <x:c r="AM94" s="85" t="str">
        <x:v>Operator describes the Knoxville facility as operating since 2007; current county and industry sources corroborate the site.</x:v>
      </x:c>
      <x:c r="AN94" t="str">
        <x:v>core_data_center</x:v>
      </x:c>
      <x:c r="AO94" s="76" t="b">
        <x:v>1</x:v>
      </x:c>
      <x:c r="AP94" t="str">
        <x:v>Infinity Data Center</x:v>
      </x:c>
      <x:c r="AQ94" t="str">
        <x:v>infinity data center</x:v>
      </x:c>
      <x:c r="AR94" t="str">
        <x:v>2575 willow point way, suite 103</x:v>
      </x:c>
    </x:row>
    <x:row r="95">
      <x:c r="A95" t="str">
        <x:v>datacenterdynamics.com</x:v>
      </x:c>
      <x:c r="B95" t="str">
        <x:v>verification:tndc-048:04</x:v>
      </x:c>
      <x:c r="C95" t="str">
        <x:v>Infinity Data Center</x:v>
      </x:c>
      <x:c r="D95"/>
      <x:c r="E95" t="str">
        <x:v>Infinity Data Center</x:v>
      </x:c>
      <x:c r="F95"/>
      <x:c r="G95" t="str">
        <x:v>2575 Willow Point Way, Suite 103</x:v>
      </x:c>
      <x:c r="H95"/>
      <x:c r="I95" t="str">
        <x:v>Knoxville</x:v>
      </x:c>
      <x:c r="J95" t="str">
        <x:v>Knox</x:v>
      </x:c>
      <x:c r="K95" t="str">
        <x:v>TN</x:v>
      </x:c>
      <x:c r="L95" t="str">
        <x:v>37931</x:v>
      </x:c>
      <x:c r="M95" t="n">
        <x:v>35.9585</x:v>
      </x:c>
      <x:c r="N95" t="n">
        <x:v>-84.1392</x:v>
      </x:c>
      <x:c r="O95" t="str">
        <x:v>address_or_site</x:v>
      </x:c>
      <x:c r="P95" t="str">
        <x:v>high</x:v>
      </x:c>
      <x:c r="Q95" t="str">
        <x:v>Public-source verification; unknown coordinates were not inferred.</x:v>
      </x:c>
      <x:c r="R95" t="str">
        <x:v>operational</x:v>
      </x:c>
      <x:c r="S95" t="str">
        <x:v>operational</x:v>
      </x:c>
      <x:c r="T95" t="str">
        <x:v>data_center</x:v>
      </x:c>
      <x:c r="U95"/>
      <x:c r="V95"/>
      <x:c r="W95"/>
      <x:c r="X95"/>
      <x:c r="Y95"/>
      <x:c r="Z95"/>
      <x:c r="AA95"/>
      <x:c r="AB95"/>
      <x:c r="AC95"/>
      <x:c r="AD95"/>
      <x:c r="AE95"/>
      <x:c r="AF95"/>
      <x:c r="AG95"/>
      <x:c r="AH95"/>
      <x:c r="AI95" t="str">
        <x:v>2026-09-03</x:v>
      </x:c>
      <x:c r="AJ95" s="85" t="str">
        <x:v>https://www.datacenterdynamics.com/en/news/data-center-unit-for-sale-in-knoxville-tennessee/</x:v>
      </x:c>
      <x:c r="AK95" s="85" t="str">
        <x:v>https://www.datacenterdynamics.com/en/news/data-center-unit-for-sale-in-knoxville-tennessee/</x:v>
      </x:c>
      <x:c r="AL95" s="85" t="str">
        <x:v>https://www.datacenterdynamics.com/en/news/data-center-unit-for-sale-in-knoxville-tennessee/</x:v>
      </x:c>
      <x:c r="AM95" s="85" t="str">
        <x:v>Operator describes the Knoxville facility as operating since 2007; current county and industry sources corroborate the site.</x:v>
      </x:c>
      <x:c r="AN95" t="str">
        <x:v>core_data_center</x:v>
      </x:c>
      <x:c r="AO95" s="76" t="b">
        <x:v>1</x:v>
      </x:c>
      <x:c r="AP95" t="str">
        <x:v>Infinity Data Center</x:v>
      </x:c>
      <x:c r="AQ95" t="str">
        <x:v>infinity data center</x:v>
      </x:c>
      <x:c r="AR95" t="str">
        <x:v>2575 willow point way, suite 103</x:v>
      </x:c>
    </x:row>
    <x:row r="96">
      <x:c r="A96" t="str">
        <x:v>commission.knoxcountytn.gov</x:v>
      </x:c>
      <x:c r="B96" t="str">
        <x:v>verification:tndc-048:05</x:v>
      </x:c>
      <x:c r="C96" t="str">
        <x:v>Infinity Data Center</x:v>
      </x:c>
      <x:c r="D96"/>
      <x:c r="E96" t="str">
        <x:v>Infinity Data Center</x:v>
      </x:c>
      <x:c r="F96"/>
      <x:c r="G96" t="str">
        <x:v>2575 Willow Point Way, Suite 103</x:v>
      </x:c>
      <x:c r="H96"/>
      <x:c r="I96" t="str">
        <x:v>Knoxville</x:v>
      </x:c>
      <x:c r="J96" t="str">
        <x:v>Knox</x:v>
      </x:c>
      <x:c r="K96" t="str">
        <x:v>TN</x:v>
      </x:c>
      <x:c r="L96" t="str">
        <x:v>37931</x:v>
      </x:c>
      <x:c r="M96" t="n">
        <x:v>35.9585</x:v>
      </x:c>
      <x:c r="N96" t="n">
        <x:v>-84.1392</x:v>
      </x:c>
      <x:c r="O96" t="str">
        <x:v>address_or_site</x:v>
      </x:c>
      <x:c r="P96" t="str">
        <x:v>high</x:v>
      </x:c>
      <x:c r="Q96" t="str">
        <x:v>Public-source verification; unknown coordinates were not inferred.</x:v>
      </x:c>
      <x:c r="R96" t="str">
        <x:v>operational</x:v>
      </x:c>
      <x:c r="S96" t="str">
        <x:v>operational</x:v>
      </x:c>
      <x:c r="T96" t="str">
        <x:v>data_center</x:v>
      </x:c>
      <x:c r="U96"/>
      <x:c r="V96"/>
      <x:c r="W96"/>
      <x:c r="X96"/>
      <x:c r="Y96"/>
      <x:c r="Z96"/>
      <x:c r="AA96"/>
      <x:c r="AB96"/>
      <x:c r="AC96"/>
      <x:c r="AD96"/>
      <x:c r="AE96"/>
      <x:c r="AF96"/>
      <x:c r="AG96"/>
      <x:c r="AH96"/>
      <x:c r="AI96" t="str">
        <x:v>2026-09-03</x:v>
      </x:c>
      <x:c r="AJ96" s="85" t="str">
        <x:v>https://commission.knoxcountytn.gov/forums/topic/data-center-moratorium/</x:v>
      </x:c>
      <x:c r="AK96" s="85" t="str">
        <x:v>https://commission.knoxcountytn.gov/forums/topic/data-center-moratorium/</x:v>
      </x:c>
      <x:c r="AL96" s="85" t="str">
        <x:v>https://commission.knoxcountytn.gov/forums/topic/data-center-moratorium/</x:v>
      </x:c>
      <x:c r="AM96" s="85" t="str">
        <x:v>Operator describes the Knoxville facility as operating since 2007; current county and industry sources corroborate the site.</x:v>
      </x:c>
      <x:c r="AN96" t="str">
        <x:v>core_data_center</x:v>
      </x:c>
      <x:c r="AO96" s="76" t="b">
        <x:v>1</x:v>
      </x:c>
      <x:c r="AP96" t="str">
        <x:v>Infinity Data Center</x:v>
      </x:c>
      <x:c r="AQ96" t="str">
        <x:v>infinity data center</x:v>
      </x:c>
      <x:c r="AR96" t="str">
        <x:v>2575 willow point way, suite 103</x:v>
      </x:c>
    </x:row>
    <x:row r="97">
      <x:c r="A97" t="str">
        <x:v>commission.knoxcountytn.gov</x:v>
      </x:c>
      <x:c r="B97" t="str">
        <x:v>verification:tndc-049:01</x:v>
      </x:c>
      <x:c r="C97" t="str">
        <x:v>Windstream / Uniti Knoxville</x:v>
      </x:c>
      <x:c r="D97"/>
      <x:c r="E97" t="str">
        <x:v>Uniti Wholesale</x:v>
      </x:c>
      <x:c r="F97"/>
      <x:c r="G97" t="str">
        <x:v>2333 Lovell Rd</x:v>
      </x:c>
      <x:c r="H97"/>
      <x:c r="I97" t="str">
        <x:v>Knoxville</x:v>
      </x:c>
      <x:c r="J97" t="str">
        <x:v>Knox</x:v>
      </x:c>
      <x:c r="K97" t="str">
        <x:v>TN</x:v>
      </x:c>
      <x:c r="L97" t="str">
        <x:v>37932</x:v>
      </x:c>
      <x:c r="M97"/>
      <x:c r="N97"/>
      <x:c r="O97" t="str">
        <x:v>address_or_site</x:v>
      </x:c>
      <x:c r="P97" t="str">
        <x:v>high</x:v>
      </x:c>
      <x:c r="Q97" t="str">
        <x:v>Public-source verification; unknown coordinates were not inferred.</x:v>
      </x:c>
      <x:c r="R97" t="str">
        <x:v>operational</x:v>
      </x:c>
      <x:c r="S97" t="str">
        <x:v>operational</x:v>
      </x:c>
      <x:c r="T97" t="str">
        <x:v>interconnection_facility</x:v>
      </x:c>
      <x:c r="U97"/>
      <x:c r="V97"/>
      <x:c r="W97"/>
      <x:c r="X97"/>
      <x:c r="Y97"/>
      <x:c r="Z97"/>
      <x:c r="AA97"/>
      <x:c r="AB97"/>
      <x:c r="AC97"/>
      <x:c r="AD97"/>
      <x:c r="AE97"/>
      <x:c r="AF97"/>
      <x:c r="AG97"/>
      <x:c r="AH97"/>
      <x:c r="AI97" t="str">
        <x:v>2026-09-03</x:v>
      </x:c>
      <x:c r="AJ97" s="85" t="str">
        <x:v>https://commission.knoxcountytn.gov/forums/topic/data-center-moratorium/</x:v>
      </x:c>
      <x:c r="AK97" s="85" t="str">
        <x:v>https://commission.knoxcountytn.gov/forums/topic/data-center-moratorium/</x:v>
      </x:c>
      <x:c r="AL97" s="85" t="str">
        <x:v>https://commission.knoxcountytn.gov/forums/topic/data-center-moratorium/</x:v>
      </x:c>
      <x:c r="AM97" s="85" t="str">
        <x:v>Current Windstream/Uniti network material and Knox County identify the Lovell Road facility.</x:v>
      </x:c>
      <x:c r="AN97" t="str">
        <x:v>core_data_center</x:v>
      </x:c>
      <x:c r="AO97" s="76" t="b">
        <x:v>1</x:v>
      </x:c>
      <x:c r="AP97" t="str">
        <x:v>Uniti Wholesale</x:v>
      </x:c>
      <x:c r="AQ97" t="str">
        <x:v>windstream / uniti knoxville</x:v>
      </x:c>
      <x:c r="AR97" t="str">
        <x:v>2333 lovell rd</x:v>
      </x:c>
    </x:row>
    <x:row r="98">
      <x:c r="A98" t="str">
        <x:v>windstreamwholesale.com</x:v>
      </x:c>
      <x:c r="B98" t="str">
        <x:v>verification:tndc-049:02</x:v>
      </x:c>
      <x:c r="C98" t="str">
        <x:v>Windstream / Uniti Knoxville</x:v>
      </x:c>
      <x:c r="D98"/>
      <x:c r="E98" t="str">
        <x:v>Uniti Wholesale</x:v>
      </x:c>
      <x:c r="F98"/>
      <x:c r="G98" t="str">
        <x:v>2333 Lovell Rd</x:v>
      </x:c>
      <x:c r="H98"/>
      <x:c r="I98" t="str">
        <x:v>Knoxville</x:v>
      </x:c>
      <x:c r="J98" t="str">
        <x:v>Knox</x:v>
      </x:c>
      <x:c r="K98" t="str">
        <x:v>TN</x:v>
      </x:c>
      <x:c r="L98" t="str">
        <x:v>37932</x:v>
      </x:c>
      <x:c r="M98"/>
      <x:c r="N98"/>
      <x:c r="O98" t="str">
        <x:v>address_or_site</x:v>
      </x:c>
      <x:c r="P98" t="str">
        <x:v>high</x:v>
      </x:c>
      <x:c r="Q98" t="str">
        <x:v>Public-source verification; unknown coordinates were not inferred.</x:v>
      </x:c>
      <x:c r="R98" t="str">
        <x:v>operational</x:v>
      </x:c>
      <x:c r="S98" t="str">
        <x:v>operational</x:v>
      </x:c>
      <x:c r="T98" t="str">
        <x:v>interconnection_facility</x:v>
      </x:c>
      <x:c r="U98"/>
      <x:c r="V98"/>
      <x:c r="W98"/>
      <x:c r="X98"/>
      <x:c r="Y98"/>
      <x:c r="Z98"/>
      <x:c r="AA98"/>
      <x:c r="AB98"/>
      <x:c r="AC98"/>
      <x:c r="AD98"/>
      <x:c r="AE98"/>
      <x:c r="AF98"/>
      <x:c r="AG98"/>
      <x:c r="AH98"/>
      <x:c r="AI98" t="str">
        <x:v>2026-09-03</x:v>
      </x:c>
      <x:c r="AJ98" s="85" t="str">
        <x:v>https://www.windstreamwholesale.com/wp-content/uploads/2024/05/WW-nationwide-network-map.pdf</x:v>
      </x:c>
      <x:c r="AK98" s="85" t="str">
        <x:v>https://www.windstreamwholesale.com/wp-content/uploads/2024/05/WW-nationwide-network-map.pdf</x:v>
      </x:c>
      <x:c r="AL98" s="85" t="str">
        <x:v>https://www.windstreamwholesale.com/wp-content/uploads/2024/05/WW-nationwide-network-map.pdf</x:v>
      </x:c>
      <x:c r="AM98" s="85" t="str">
        <x:v>Current Windstream/Uniti network material and Knox County identify the Lovell Road facility.</x:v>
      </x:c>
      <x:c r="AN98" t="str">
        <x:v>core_data_center</x:v>
      </x:c>
      <x:c r="AO98" s="76" t="b">
        <x:v>1</x:v>
      </x:c>
      <x:c r="AP98" t="str">
        <x:v>Uniti Wholesale</x:v>
      </x:c>
      <x:c r="AQ98" t="str">
        <x:v>windstream / uniti knoxville</x:v>
      </x:c>
      <x:c r="AR98" t="str">
        <x:v>2333 lovell rd</x:v>
      </x:c>
    </x:row>
    <x:row r="99">
      <x:c r="A99" t="str">
        <x:v>datacentermap.com</x:v>
      </x:c>
      <x:c r="B99" t="str">
        <x:v>verification:tndc-049:03</x:v>
      </x:c>
      <x:c r="C99" t="str">
        <x:v>Windstream / Uniti Knoxville</x:v>
      </x:c>
      <x:c r="D99"/>
      <x:c r="E99" t="str">
        <x:v>Uniti Wholesale</x:v>
      </x:c>
      <x:c r="F99"/>
      <x:c r="G99" t="str">
        <x:v>2333 Lovell Rd</x:v>
      </x:c>
      <x:c r="H99"/>
      <x:c r="I99" t="str">
        <x:v>Knoxville</x:v>
      </x:c>
      <x:c r="J99" t="str">
        <x:v>Knox</x:v>
      </x:c>
      <x:c r="K99" t="str">
        <x:v>TN</x:v>
      </x:c>
      <x:c r="L99" t="str">
        <x:v>37932</x:v>
      </x:c>
      <x:c r="M99"/>
      <x:c r="N99"/>
      <x:c r="O99" t="str">
        <x:v>address_or_site</x:v>
      </x:c>
      <x:c r="P99" t="str">
        <x:v>high</x:v>
      </x:c>
      <x:c r="Q99" t="str">
        <x:v>Public-source verification; unknown coordinates were not inferred.</x:v>
      </x:c>
      <x:c r="R99" t="str">
        <x:v>operational</x:v>
      </x:c>
      <x:c r="S99" t="str">
        <x:v>operational</x:v>
      </x:c>
      <x:c r="T99" t="str">
        <x:v>interconnection_facility</x:v>
      </x:c>
      <x:c r="U99"/>
      <x:c r="V99"/>
      <x:c r="W99"/>
      <x:c r="X99"/>
      <x:c r="Y99"/>
      <x:c r="Z99"/>
      <x:c r="AA99"/>
      <x:c r="AB99"/>
      <x:c r="AC99"/>
      <x:c r="AD99"/>
      <x:c r="AE99"/>
      <x:c r="AF99"/>
      <x:c r="AG99"/>
      <x:c r="AH99"/>
      <x:c r="AI99" t="str">
        <x:v>2026-09-03</x:v>
      </x:c>
      <x:c r="AJ99" s="85" t="str">
        <x:v>https://www.datacentermap.com/usa/tennessee/knoxville/</x:v>
      </x:c>
      <x:c r="AK99" s="85" t="str">
        <x:v>https://www.datacentermap.com/usa/tennessee/knoxville/</x:v>
      </x:c>
      <x:c r="AL99" s="85" t="str">
        <x:v>https://www.datacentermap.com/usa/tennessee/knoxville/</x:v>
      </x:c>
      <x:c r="AM99" s="85" t="str">
        <x:v>Current Windstream/Uniti network material and Knox County identify the Lovell Road facility.</x:v>
      </x:c>
      <x:c r="AN99" t="str">
        <x:v>core_data_center</x:v>
      </x:c>
      <x:c r="AO99" s="76" t="b">
        <x:v>1</x:v>
      </x:c>
      <x:c r="AP99" t="str">
        <x:v>Uniti Wholesale</x:v>
      </x:c>
      <x:c r="AQ99" t="str">
        <x:v>windstream / uniti knoxville</x:v>
      </x:c>
      <x:c r="AR99" t="str">
        <x:v>2333 lovell rd</x:v>
      </x:c>
    </x:row>
    <x:row r="100">
      <x:c r="A100" t="str">
        <x:v>aeneas.com</x:v>
      </x:c>
      <x:c r="B100" t="str">
        <x:v>verification:tndc-050:01</x:v>
      </x:c>
      <x:c r="C100" t="str">
        <x:v>Aeneas Data Center</x:v>
      </x:c>
      <x:c r="D100"/>
      <x:c r="E100" t="str">
        <x:v>Aeneas Internet and Telephone</x:v>
      </x:c>
      <x:c r="F100"/>
      <x:c r="G100" t="str">
        <x:v>300 N Cumberland St</x:v>
      </x:c>
      <x:c r="H100"/>
      <x:c r="I100" t="str">
        <x:v>Jackson</x:v>
      </x:c>
      <x:c r="J100" t="str">
        <x:v>Madison</x:v>
      </x:c>
      <x:c r="K100" t="str">
        <x:v>TN</x:v>
      </x:c>
      <x:c r="L100" t="str">
        <x:v>38301</x:v>
      </x:c>
      <x:c r="M100" t="n">
        <x:v>35.6163439553</x:v>
      </x:c>
      <x:c r="N100" t="n">
        <x:v>-88.8159272209</x:v>
      </x:c>
      <x:c r="O100" t="str">
        <x:v>address_or_site</x:v>
      </x:c>
      <x:c r="P100" t="str">
        <x:v>high</x:v>
      </x:c>
      <x:c r="Q100" t="str">
        <x:v>Public-source verification; unknown coordinates were not inferred.</x:v>
      </x:c>
      <x:c r="R100" t="str">
        <x:v>operational</x:v>
      </x:c>
      <x:c r="S100" t="str">
        <x:v>operational</x:v>
      </x:c>
      <x:c r="T100" t="str">
        <x:v>interconnection_facility</x:v>
      </x:c>
      <x:c r="U100"/>
      <x:c r="V100"/>
      <x:c r="W100"/>
      <x:c r="X100"/>
      <x:c r="Y100"/>
      <x:c r="Z100"/>
      <x:c r="AA100"/>
      <x:c r="AB100"/>
      <x:c r="AC100"/>
      <x:c r="AD100"/>
      <x:c r="AE100"/>
      <x:c r="AF100"/>
      <x:c r="AG100"/>
      <x:c r="AH100"/>
      <x:c r="AI100" t="str">
        <x:v>2026-09-03</x:v>
      </x:c>
      <x:c r="AJ100" s="85" t="str">
        <x:v>https://aeneas.com/contact/</x:v>
      </x:c>
      <x:c r="AK100" s="85" t="str">
        <x:v>https://aeneas.com/contact/</x:v>
      </x:c>
      <x:c r="AL100" s="85" t="str">
        <x:v>https://aeneas.com/contact/</x:v>
      </x:c>
      <x:c r="AM100" s="85" t="str">
        <x:v>Operator contact information and state/industry directories identify the Jackson data-center location.</x:v>
      </x:c>
      <x:c r="AN100" t="str">
        <x:v>core_data_center</x:v>
      </x:c>
      <x:c r="AO100" s="76" t="b">
        <x:v>1</x:v>
      </x:c>
      <x:c r="AP100" t="str">
        <x:v>Aeneas Internet and Telephone</x:v>
      </x:c>
      <x:c r="AQ100" t="str">
        <x:v>aeneas data center</x:v>
      </x:c>
      <x:c r="AR100" t="str">
        <x:v>300 n cumberland st</x:v>
      </x:c>
    </x:row>
    <x:row r="101">
      <x:c r="A101" t="str">
        <x:v>datacentermap.com</x:v>
      </x:c>
      <x:c r="B101" t="str">
        <x:v>verification:tndc-050:02</x:v>
      </x:c>
      <x:c r="C101" t="str">
        <x:v>Aeneas Data Center</x:v>
      </x:c>
      <x:c r="D101"/>
      <x:c r="E101" t="str">
        <x:v>Aeneas Internet and Telephone</x:v>
      </x:c>
      <x:c r="F101"/>
      <x:c r="G101" t="str">
        <x:v>300 N Cumberland St</x:v>
      </x:c>
      <x:c r="H101"/>
      <x:c r="I101" t="str">
        <x:v>Jackson</x:v>
      </x:c>
      <x:c r="J101" t="str">
        <x:v>Madison</x:v>
      </x:c>
      <x:c r="K101" t="str">
        <x:v>TN</x:v>
      </x:c>
      <x:c r="L101" t="str">
        <x:v>38301</x:v>
      </x:c>
      <x:c r="M101" t="n">
        <x:v>35.6163439553</x:v>
      </x:c>
      <x:c r="N101" t="n">
        <x:v>-88.8159272209</x:v>
      </x:c>
      <x:c r="O101" t="str">
        <x:v>address_or_site</x:v>
      </x:c>
      <x:c r="P101" t="str">
        <x:v>high</x:v>
      </x:c>
      <x:c r="Q101" t="str">
        <x:v>Public-source verification; unknown coordinates were not inferred.</x:v>
      </x:c>
      <x:c r="R101" t="str">
        <x:v>operational</x:v>
      </x:c>
      <x:c r="S101" t="str">
        <x:v>operational</x:v>
      </x:c>
      <x:c r="T101" t="str">
        <x:v>interconnection_facility</x:v>
      </x:c>
      <x:c r="U101"/>
      <x:c r="V101"/>
      <x:c r="W101"/>
      <x:c r="X101"/>
      <x:c r="Y101"/>
      <x:c r="Z101"/>
      <x:c r="AA101"/>
      <x:c r="AB101"/>
      <x:c r="AC101"/>
      <x:c r="AD101"/>
      <x:c r="AE101"/>
      <x:c r="AF101"/>
      <x:c r="AG101"/>
      <x:c r="AH101"/>
      <x:c r="AI101" t="str">
        <x:v>2026-09-03</x:v>
      </x:c>
      <x:c r="AJ101" s="85" t="str">
        <x:v>https://www.datacentermap.com/usa/tennessee/jackson/</x:v>
      </x:c>
      <x:c r="AK101" s="85" t="str">
        <x:v>https://www.datacentermap.com/usa/tennessee/jackson/</x:v>
      </x:c>
      <x:c r="AL101" s="85" t="str">
        <x:v>https://www.datacentermap.com/usa/tennessee/jackson/</x:v>
      </x:c>
      <x:c r="AM101" s="85" t="str">
        <x:v>Operator contact information and state/industry directories identify the Jackson data-center location.</x:v>
      </x:c>
      <x:c r="AN101" t="str">
        <x:v>core_data_center</x:v>
      </x:c>
      <x:c r="AO101" s="76" t="b">
        <x:v>1</x:v>
      </x:c>
      <x:c r="AP101" t="str">
        <x:v>Aeneas Internet and Telephone</x:v>
      </x:c>
      <x:c r="AQ101" t="str">
        <x:v>aeneas data center</x:v>
      </x:c>
      <x:c r="AR101" t="str">
        <x:v>300 n cumberland st</x:v>
      </x:c>
    </x:row>
    <x:row r="102">
      <x:c r="A102" t="str">
        <x:v>tnecd.com</x:v>
      </x:c>
      <x:c r="B102" t="str">
        <x:v>verification:tndc-050:03</x:v>
      </x:c>
      <x:c r="C102" t="str">
        <x:v>Aeneas Data Center</x:v>
      </x:c>
      <x:c r="D102"/>
      <x:c r="E102" t="str">
        <x:v>Aeneas Internet and Telephone</x:v>
      </x:c>
      <x:c r="F102"/>
      <x:c r="G102" t="str">
        <x:v>300 N Cumberland St</x:v>
      </x:c>
      <x:c r="H102"/>
      <x:c r="I102" t="str">
        <x:v>Jackson</x:v>
      </x:c>
      <x:c r="J102" t="str">
        <x:v>Madison</x:v>
      </x:c>
      <x:c r="K102" t="str">
        <x:v>TN</x:v>
      </x:c>
      <x:c r="L102" t="str">
        <x:v>38301</x:v>
      </x:c>
      <x:c r="M102" t="n">
        <x:v>35.6163439553</x:v>
      </x:c>
      <x:c r="N102" t="n">
        <x:v>-88.8159272209</x:v>
      </x:c>
      <x:c r="O102" t="str">
        <x:v>address_or_site</x:v>
      </x:c>
      <x:c r="P102" t="str">
        <x:v>high</x:v>
      </x:c>
      <x:c r="Q102" t="str">
        <x:v>Public-source verification; unknown coordinates were not inferred.</x:v>
      </x:c>
      <x:c r="R102" t="str">
        <x:v>operational</x:v>
      </x:c>
      <x:c r="S102" t="str">
        <x:v>operational</x:v>
      </x:c>
      <x:c r="T102" t="str">
        <x:v>interconnection_facility</x:v>
      </x:c>
      <x:c r="U102"/>
      <x:c r="V102"/>
      <x:c r="W102"/>
      <x:c r="X102"/>
      <x:c r="Y102"/>
      <x:c r="Z102"/>
      <x:c r="AA102"/>
      <x:c r="AB102"/>
      <x:c r="AC102"/>
      <x:c r="AD102"/>
      <x:c r="AE102"/>
      <x:c r="AF102"/>
      <x:c r="AG102"/>
      <x:c r="AH102"/>
      <x:c r="AI102" t="str">
        <x:v>2026-09-03</x:v>
      </x:c>
      <x:c r="AJ102" s="85" t="str">
        <x:v>https://tnecd.com/wp-content/uploads/2018/10/business-services.pdf</x:v>
      </x:c>
      <x:c r="AK102" s="85" t="str">
        <x:v>https://tnecd.com/wp-content/uploads/2018/10/business-services.pdf</x:v>
      </x:c>
      <x:c r="AL102" s="85" t="str">
        <x:v>https://tnecd.com/wp-content/uploads/2018/10/business-services.pdf</x:v>
      </x:c>
      <x:c r="AM102" s="85" t="str">
        <x:v>Operator contact information and state/industry directories identify the Jackson data-center location.</x:v>
      </x:c>
      <x:c r="AN102" t="str">
        <x:v>core_data_center</x:v>
      </x:c>
      <x:c r="AO102" s="76" t="b">
        <x:v>1</x:v>
      </x:c>
      <x:c r="AP102" t="str">
        <x:v>Aeneas Internet and Telephone</x:v>
      </x:c>
      <x:c r="AQ102" t="str">
        <x:v>aeneas data center</x:v>
      </x:c>
      <x:c r="AR102" t="str">
        <x:v>300 n cumberland st</x:v>
      </x:c>
    </x:row>
    <x:row r="103">
      <x:c r="A103" t="str">
        <x:v>tfpdev.wehco.com</x:v>
      </x:c>
      <x:c r="B103" t="str">
        <x:v>verification:tndc-051:01</x:v>
      </x:c>
      <x:c r="C103" t="str">
        <x:v>MCA Chattanooga Data Center</x:v>
      </x:c>
      <x:c r="D103"/>
      <x:c r="E103" t="str">
        <x:v>MCA Technology Solutions</x:v>
      </x:c>
      <x:c r="F103"/>
      <x:c r="G103" t="str">
        <x:v>6048 Century Oaks Dr</x:v>
      </x:c>
      <x:c r="H103"/>
      <x:c r="I103" t="str">
        <x:v>Chattanooga</x:v>
      </x:c>
      <x:c r="J103" t="str">
        <x:v>Hamilton</x:v>
      </x:c>
      <x:c r="K103" t="str">
        <x:v>TN</x:v>
      </x:c>
      <x:c r="L103" t="str">
        <x:v>37416</x:v>
      </x:c>
      <x:c r="M103"/>
      <x:c r="N103"/>
      <x:c r="O103" t="str">
        <x:v>address_or_site</x:v>
      </x:c>
      <x:c r="P103" t="str">
        <x:v>high</x:v>
      </x:c>
      <x:c r="Q103" t="str">
        <x:v>Public-source verification; unknown coordinates were not inferred.</x:v>
      </x:c>
      <x:c r="R103" t="str">
        <x:v>operational</x:v>
      </x:c>
      <x:c r="S103" t="str">
        <x:v>operational</x:v>
      </x:c>
      <x:c r="T103" t="str">
        <x:v>data_center</x:v>
      </x:c>
      <x:c r="U103"/>
      <x:c r="V103" t="n">
        <x:v>0.5</x:v>
      </x:c>
      <x:c r="W103"/>
      <x:c r="X103"/>
      <x:c r="Y103" t="n">
        <x:v>2500</x:v>
      </x:c>
      <x:c r="Z103"/>
      <x:c r="AA103"/>
      <x:c r="AB103"/>
      <x:c r="AC103"/>
      <x:c r="AD103"/>
      <x:c r="AE103"/>
      <x:c r="AF103"/>
      <x:c r="AG103"/>
      <x:c r="AH103"/>
      <x:c r="AI103" t="str">
        <x:v>2026-09-03</x:v>
      </x:c>
      <x:c r="AJ103" s="85" t="str">
        <x:v>https://tfpdev.wehco.com/news/2026/aug/23/where-are-data-centers-in-chattanooga-region/</x:v>
      </x:c>
      <x:c r="AK103" s="85" t="str">
        <x:v>https://tfpdev.wehco.com/news/2026/aug/23/where-are-data-centers-in-chattanooga-region/</x:v>
      </x:c>
      <x:c r="AL103" s="85" t="str">
        <x:v>https://tfpdev.wehco.com/news/2026/aug/23/where-are-data-centers-in-chattanooga-region/</x:v>
      </x:c>
      <x:c r="AM103" s="85" t="str">
        <x:v>Current regional reporting and state/industry directories corroborate this small operating facility.</x:v>
      </x:c>
      <x:c r="AN103" t="str">
        <x:v>core_data_center</x:v>
      </x:c>
      <x:c r="AO103" s="76" t="b">
        <x:v>1</x:v>
      </x:c>
      <x:c r="AP103" t="str">
        <x:v>MCA Technology Solutions</x:v>
      </x:c>
      <x:c r="AQ103" t="str">
        <x:v>mca chattanooga data center</x:v>
      </x:c>
      <x:c r="AR103" t="str">
        <x:v>6048 century oaks dr</x:v>
      </x:c>
    </x:row>
    <x:row r="104">
      <x:c r="A104" t="str">
        <x:v>datacentermap.com</x:v>
      </x:c>
      <x:c r="B104" t="str">
        <x:v>verification:tndc-051:02</x:v>
      </x:c>
      <x:c r="C104" t="str">
        <x:v>MCA Chattanooga Data Center</x:v>
      </x:c>
      <x:c r="D104"/>
      <x:c r="E104" t="str">
        <x:v>MCA Technology Solutions</x:v>
      </x:c>
      <x:c r="F104"/>
      <x:c r="G104" t="str">
        <x:v>6048 Century Oaks Dr</x:v>
      </x:c>
      <x:c r="H104"/>
      <x:c r="I104" t="str">
        <x:v>Chattanooga</x:v>
      </x:c>
      <x:c r="J104" t="str">
        <x:v>Hamilton</x:v>
      </x:c>
      <x:c r="K104" t="str">
        <x:v>TN</x:v>
      </x:c>
      <x:c r="L104" t="str">
        <x:v>37416</x:v>
      </x:c>
      <x:c r="M104"/>
      <x:c r="N104"/>
      <x:c r="O104" t="str">
        <x:v>address_or_site</x:v>
      </x:c>
      <x:c r="P104" t="str">
        <x:v>high</x:v>
      </x:c>
      <x:c r="Q104" t="str">
        <x:v>Public-source verification; unknown coordinates were not inferred.</x:v>
      </x:c>
      <x:c r="R104" t="str">
        <x:v>operational</x:v>
      </x:c>
      <x:c r="S104" t="str">
        <x:v>operational</x:v>
      </x:c>
      <x:c r="T104" t="str">
        <x:v>data_center</x:v>
      </x:c>
      <x:c r="U104"/>
      <x:c r="V104" t="n">
        <x:v>0.5</x:v>
      </x:c>
      <x:c r="W104"/>
      <x:c r="X104"/>
      <x:c r="Y104" t="n">
        <x:v>2500</x:v>
      </x:c>
      <x:c r="Z104"/>
      <x:c r="AA104"/>
      <x:c r="AB104"/>
      <x:c r="AC104"/>
      <x:c r="AD104"/>
      <x:c r="AE104"/>
      <x:c r="AF104"/>
      <x:c r="AG104"/>
      <x:c r="AH104"/>
      <x:c r="AI104" t="str">
        <x:v>2026-09-03</x:v>
      </x:c>
      <x:c r="AJ104" s="85" t="str">
        <x:v>https://www.datacentermap.com/usa/tennessee/chattanooga/mca-corporate/</x:v>
      </x:c>
      <x:c r="AK104" s="85" t="str">
        <x:v>https://www.datacentermap.com/usa/tennessee/chattanooga/mca-corporate/</x:v>
      </x:c>
      <x:c r="AL104" s="85" t="str">
        <x:v>https://www.datacentermap.com/usa/tennessee/chattanooga/mca-corporate/</x:v>
      </x:c>
      <x:c r="AM104" s="85" t="str">
        <x:v>Current regional reporting and state/industry directories corroborate this small operating facility.</x:v>
      </x:c>
      <x:c r="AN104" t="str">
        <x:v>core_data_center</x:v>
      </x:c>
      <x:c r="AO104" s="76" t="b">
        <x:v>1</x:v>
      </x:c>
      <x:c r="AP104" t="str">
        <x:v>MCA Technology Solutions</x:v>
      </x:c>
      <x:c r="AQ104" t="str">
        <x:v>mca chattanooga data center</x:v>
      </x:c>
      <x:c r="AR104" t="str">
        <x:v>6048 century oaks dr</x:v>
      </x:c>
    </x:row>
    <x:row r="105">
      <x:c r="A105" t="str">
        <x:v>tnecd.com</x:v>
      </x:c>
      <x:c r="B105" t="str">
        <x:v>verification:tndc-051:03</x:v>
      </x:c>
      <x:c r="C105" t="str">
        <x:v>MCA Chattanooga Data Center</x:v>
      </x:c>
      <x:c r="D105"/>
      <x:c r="E105" t="str">
        <x:v>MCA Technology Solutions</x:v>
      </x:c>
      <x:c r="F105"/>
      <x:c r="G105" t="str">
        <x:v>6048 Century Oaks Dr</x:v>
      </x:c>
      <x:c r="H105"/>
      <x:c r="I105" t="str">
        <x:v>Chattanooga</x:v>
      </x:c>
      <x:c r="J105" t="str">
        <x:v>Hamilton</x:v>
      </x:c>
      <x:c r="K105" t="str">
        <x:v>TN</x:v>
      </x:c>
      <x:c r="L105" t="str">
        <x:v>37416</x:v>
      </x:c>
      <x:c r="M105"/>
      <x:c r="N105"/>
      <x:c r="O105" t="str">
        <x:v>address_or_site</x:v>
      </x:c>
      <x:c r="P105" t="str">
        <x:v>high</x:v>
      </x:c>
      <x:c r="Q105" t="str">
        <x:v>Public-source verification; unknown coordinates were not inferred.</x:v>
      </x:c>
      <x:c r="R105" t="str">
        <x:v>operational</x:v>
      </x:c>
      <x:c r="S105" t="str">
        <x:v>operational</x:v>
      </x:c>
      <x:c r="T105" t="str">
        <x:v>data_center</x:v>
      </x:c>
      <x:c r="U105"/>
      <x:c r="V105" t="n">
        <x:v>0.5</x:v>
      </x:c>
      <x:c r="W105"/>
      <x:c r="X105"/>
      <x:c r="Y105" t="n">
        <x:v>2500</x:v>
      </x:c>
      <x:c r="Z105"/>
      <x:c r="AA105"/>
      <x:c r="AB105"/>
      <x:c r="AC105"/>
      <x:c r="AD105"/>
      <x:c r="AE105"/>
      <x:c r="AF105"/>
      <x:c r="AG105"/>
      <x:c r="AH105"/>
      <x:c r="AI105" t="str">
        <x:v>2026-09-03</x:v>
      </x:c>
      <x:c r="AJ105" s="85" t="str">
        <x:v>https://tnecd.com/wp-content/uploads/2018/10/business-services.pdf</x:v>
      </x:c>
      <x:c r="AK105" s="85" t="str">
        <x:v>https://tnecd.com/wp-content/uploads/2018/10/business-services.pdf</x:v>
      </x:c>
      <x:c r="AL105" s="85" t="str">
        <x:v>https://tnecd.com/wp-content/uploads/2018/10/business-services.pdf</x:v>
      </x:c>
      <x:c r="AM105" s="85" t="str">
        <x:v>Current regional reporting and state/industry directories corroborate this small operating facility.</x:v>
      </x:c>
      <x:c r="AN105" t="str">
        <x:v>core_data_center</x:v>
      </x:c>
      <x:c r="AO105" s="76" t="b">
        <x:v>1</x:v>
      </x:c>
      <x:c r="AP105" t="str">
        <x:v>MCA Technology Solutions</x:v>
      </x:c>
      <x:c r="AQ105" t="str">
        <x:v>mca chattanooga data center</x:v>
      </x:c>
      <x:c r="AR105" t="str">
        <x:v>6048 century oaks dr</x:v>
      </x:c>
    </x:row>
    <x:row r="106">
      <x:c r="A106" t="str">
        <x:v>mydatasuites.com</x:v>
      </x:c>
      <x:c r="B106" t="str">
        <x:v>verification:tndc-052:01</x:v>
      </x:c>
      <x:c r="C106" t="str">
        <x:v>Data Suites Murfreesboro</x:v>
      </x:c>
      <x:c r="D106"/>
      <x:c r="E106" t="str">
        <x:v>Data Suites</x:v>
      </x:c>
      <x:c r="F106"/>
      <x:c r="G106" t="str">
        <x:v>1020 W College St</x:v>
      </x:c>
      <x:c r="H106"/>
      <x:c r="I106" t="str">
        <x:v>Murfreesboro</x:v>
      </x:c>
      <x:c r="J106" t="str">
        <x:v>Rutherford</x:v>
      </x:c>
      <x:c r="K106" t="str">
        <x:v>TN</x:v>
      </x:c>
      <x:c r="L106" t="str">
        <x:v>37129</x:v>
      </x:c>
      <x:c r="M106"/>
      <x:c r="N106"/>
      <x:c r="O106" t="str">
        <x:v>address_or_site</x:v>
      </x:c>
      <x:c r="P106" t="str">
        <x:v>high</x:v>
      </x:c>
      <x:c r="Q106" t="str">
        <x:v>Public-source verification; unknown coordinates were not inferred.</x:v>
      </x:c>
      <x:c r="R106" t="str">
        <x:v>operational</x:v>
      </x:c>
      <x:c r="S106" t="str">
        <x:v>operational</x:v>
      </x:c>
      <x:c r="T106" t="str">
        <x:v>data_center</x:v>
      </x:c>
      <x:c r="U106"/>
      <x:c r="V106" t="n">
        <x:v>2</x:v>
      </x:c>
      <x:c r="W106"/>
      <x:c r="X106"/>
      <x:c r="Y106" t="n">
        <x:v>10000</x:v>
      </x:c>
      <x:c r="Z106"/>
      <x:c r="AA106"/>
      <x:c r="AB106"/>
      <x:c r="AC106"/>
      <x:c r="AD106"/>
      <x:c r="AE106"/>
      <x:c r="AF106"/>
      <x:c r="AG106"/>
      <x:c r="AH106"/>
      <x:c r="AI106" t="str">
        <x:v>2026-09-03</x:v>
      </x:c>
      <x:c r="AJ106" s="85" t="str">
        <x:v>https://mydatasuites.com/</x:v>
      </x:c>
      <x:c r="AK106" s="85" t="str">
        <x:v>https://mydatasuites.com/</x:v>
      </x:c>
      <x:c r="AL106" s="85" t="str">
        <x:v>https://mydatasuites.com/</x:v>
      </x:c>
      <x:c r="AM106" s="85" t="str">
        <x:v>Operator materials identify a 10,000-square-foot, 2 MW Murfreesboro facility operating since 2016.</x:v>
      </x:c>
      <x:c r="AN106" t="str">
        <x:v>core_data_center</x:v>
      </x:c>
      <x:c r="AO106" s="76" t="b">
        <x:v>1</x:v>
      </x:c>
      <x:c r="AP106" t="str">
        <x:v>Data Suites</x:v>
      </x:c>
      <x:c r="AQ106" t="str">
        <x:v>data suites murfreesboro</x:v>
      </x:c>
      <x:c r="AR106" t="str">
        <x:v>1020 w college st</x:v>
      </x:c>
    </x:row>
    <x:row r="107">
      <x:c r="A107" t="str">
        <x:v>mydatasuites.com</x:v>
      </x:c>
      <x:c r="B107" t="str">
        <x:v>verification:tndc-052:02</x:v>
      </x:c>
      <x:c r="C107" t="str">
        <x:v>Data Suites Murfreesboro</x:v>
      </x:c>
      <x:c r="D107"/>
      <x:c r="E107" t="str">
        <x:v>Data Suites</x:v>
      </x:c>
      <x:c r="F107"/>
      <x:c r="G107" t="str">
        <x:v>1020 W College St</x:v>
      </x:c>
      <x:c r="H107"/>
      <x:c r="I107" t="str">
        <x:v>Murfreesboro</x:v>
      </x:c>
      <x:c r="J107" t="str">
        <x:v>Rutherford</x:v>
      </x:c>
      <x:c r="K107" t="str">
        <x:v>TN</x:v>
      </x:c>
      <x:c r="L107" t="str">
        <x:v>37129</x:v>
      </x:c>
      <x:c r="M107"/>
      <x:c r="N107"/>
      <x:c r="O107" t="str">
        <x:v>address_or_site</x:v>
      </x:c>
      <x:c r="P107" t="str">
        <x:v>high</x:v>
      </x:c>
      <x:c r="Q107" t="str">
        <x:v>Public-source verification; unknown coordinates were not inferred.</x:v>
      </x:c>
      <x:c r="R107" t="str">
        <x:v>operational</x:v>
      </x:c>
      <x:c r="S107" t="str">
        <x:v>operational</x:v>
      </x:c>
      <x:c r="T107" t="str">
        <x:v>data_center</x:v>
      </x:c>
      <x:c r="U107"/>
      <x:c r="V107" t="n">
        <x:v>2</x:v>
      </x:c>
      <x:c r="W107"/>
      <x:c r="X107"/>
      <x:c r="Y107" t="n">
        <x:v>10000</x:v>
      </x:c>
      <x:c r="Z107"/>
      <x:c r="AA107"/>
      <x:c r="AB107"/>
      <x:c r="AC107"/>
      <x:c r="AD107"/>
      <x:c r="AE107"/>
      <x:c r="AF107"/>
      <x:c r="AG107"/>
      <x:c r="AH107"/>
      <x:c r="AI107" t="str">
        <x:v>2026-09-03</x:v>
      </x:c>
      <x:c r="AJ107" s="85" t="str">
        <x:v>https://mydatasuites.com/wp-content/uploads/2018/03/Data-Sheets-Fact-Sheet.pdf</x:v>
      </x:c>
      <x:c r="AK107" s="85" t="str">
        <x:v>https://mydatasuites.com/wp-content/uploads/2018/03/Data-Sheets-Fact-Sheet.pdf</x:v>
      </x:c>
      <x:c r="AL107" s="85" t="str">
        <x:v>https://mydatasuites.com/wp-content/uploads/2018/03/Data-Sheets-Fact-Sheet.pdf</x:v>
      </x:c>
      <x:c r="AM107" s="85" t="str">
        <x:v>Operator materials identify a 10,000-square-foot, 2 MW Murfreesboro facility operating since 2016.</x:v>
      </x:c>
      <x:c r="AN107" t="str">
        <x:v>core_data_center</x:v>
      </x:c>
      <x:c r="AO107" s="76" t="b">
        <x:v>1</x:v>
      </x:c>
      <x:c r="AP107" t="str">
        <x:v>Data Suites</x:v>
      </x:c>
      <x:c r="AQ107" t="str">
        <x:v>data suites murfreesboro</x:v>
      </x:c>
      <x:c r="AR107" t="str">
        <x:v>1020 w college st</x:v>
      </x:c>
    </x:row>
    <x:row r="108">
      <x:c r="A108" t="str">
        <x:v>mydatasuites.com</x:v>
      </x:c>
      <x:c r="B108" t="str">
        <x:v>verification:tndc-052:03</x:v>
      </x:c>
      <x:c r="C108" t="str">
        <x:v>Data Suites Murfreesboro</x:v>
      </x:c>
      <x:c r="D108"/>
      <x:c r="E108" t="str">
        <x:v>Data Suites</x:v>
      </x:c>
      <x:c r="F108"/>
      <x:c r="G108" t="str">
        <x:v>1020 W College St</x:v>
      </x:c>
      <x:c r="H108"/>
      <x:c r="I108" t="str">
        <x:v>Murfreesboro</x:v>
      </x:c>
      <x:c r="J108" t="str">
        <x:v>Rutherford</x:v>
      </x:c>
      <x:c r="K108" t="str">
        <x:v>TN</x:v>
      </x:c>
      <x:c r="L108" t="str">
        <x:v>37129</x:v>
      </x:c>
      <x:c r="M108"/>
      <x:c r="N108"/>
      <x:c r="O108" t="str">
        <x:v>address_or_site</x:v>
      </x:c>
      <x:c r="P108" t="str">
        <x:v>high</x:v>
      </x:c>
      <x:c r="Q108" t="str">
        <x:v>Public-source verification; unknown coordinates were not inferred.</x:v>
      </x:c>
      <x:c r="R108" t="str">
        <x:v>operational</x:v>
      </x:c>
      <x:c r="S108" t="str">
        <x:v>operational</x:v>
      </x:c>
      <x:c r="T108" t="str">
        <x:v>data_center</x:v>
      </x:c>
      <x:c r="U108"/>
      <x:c r="V108" t="n">
        <x:v>2</x:v>
      </x:c>
      <x:c r="W108"/>
      <x:c r="X108"/>
      <x:c r="Y108" t="n">
        <x:v>10000</x:v>
      </x:c>
      <x:c r="Z108"/>
      <x:c r="AA108"/>
      <x:c r="AB108"/>
      <x:c r="AC108"/>
      <x:c r="AD108"/>
      <x:c r="AE108"/>
      <x:c r="AF108"/>
      <x:c r="AG108"/>
      <x:c r="AH108"/>
      <x:c r="AI108" t="str">
        <x:v>2026-09-03</x:v>
      </x:c>
      <x:c r="AJ108" s="85" t="str">
        <x:v>https://mydatasuites.com/data-center-whitespace-lease-nashville/</x:v>
      </x:c>
      <x:c r="AK108" s="85" t="str">
        <x:v>https://mydatasuites.com/data-center-whitespace-lease-nashville/</x:v>
      </x:c>
      <x:c r="AL108" s="85" t="str">
        <x:v>https://mydatasuites.com/data-center-whitespace-lease-nashville/</x:v>
      </x:c>
      <x:c r="AM108" s="85" t="str">
        <x:v>Operator materials identify a 10,000-square-foot, 2 MW Murfreesboro facility operating since 2016.</x:v>
      </x:c>
      <x:c r="AN108" t="str">
        <x:v>core_data_center</x:v>
      </x:c>
      <x:c r="AO108" s="76" t="b">
        <x:v>1</x:v>
      </x:c>
      <x:c r="AP108" t="str">
        <x:v>Data Suites</x:v>
      </x:c>
      <x:c r="AQ108" t="str">
        <x:v>data suites murfreesboro</x:v>
      </x:c>
      <x:c r="AR108" t="str">
        <x:v>1020 w college st</x:v>
      </x:c>
    </x:row>
    <x:row r="109">
      <x:c r="A109" t="str">
        <x:v>datacentermap.com</x:v>
      </x:c>
      <x:c r="B109" t="str">
        <x:v>verification:tndc-052:04</x:v>
      </x:c>
      <x:c r="C109" t="str">
        <x:v>Data Suites Murfreesboro</x:v>
      </x:c>
      <x:c r="D109"/>
      <x:c r="E109" t="str">
        <x:v>Data Suites</x:v>
      </x:c>
      <x:c r="F109"/>
      <x:c r="G109" t="str">
        <x:v>1020 W College St</x:v>
      </x:c>
      <x:c r="H109"/>
      <x:c r="I109" t="str">
        <x:v>Murfreesboro</x:v>
      </x:c>
      <x:c r="J109" t="str">
        <x:v>Rutherford</x:v>
      </x:c>
      <x:c r="K109" t="str">
        <x:v>TN</x:v>
      </x:c>
      <x:c r="L109" t="str">
        <x:v>37129</x:v>
      </x:c>
      <x:c r="M109"/>
      <x:c r="N109"/>
      <x:c r="O109" t="str">
        <x:v>address_or_site</x:v>
      </x:c>
      <x:c r="P109" t="str">
        <x:v>high</x:v>
      </x:c>
      <x:c r="Q109" t="str">
        <x:v>Public-source verification; unknown coordinates were not inferred.</x:v>
      </x:c>
      <x:c r="R109" t="str">
        <x:v>operational</x:v>
      </x:c>
      <x:c r="S109" t="str">
        <x:v>operational</x:v>
      </x:c>
      <x:c r="T109" t="str">
        <x:v>data_center</x:v>
      </x:c>
      <x:c r="U109"/>
      <x:c r="V109" t="n">
        <x:v>2</x:v>
      </x:c>
      <x:c r="W109"/>
      <x:c r="X109"/>
      <x:c r="Y109" t="n">
        <x:v>10000</x:v>
      </x:c>
      <x:c r="Z109"/>
      <x:c r="AA109"/>
      <x:c r="AB109"/>
      <x:c r="AC109"/>
      <x:c r="AD109"/>
      <x:c r="AE109"/>
      <x:c r="AF109"/>
      <x:c r="AG109"/>
      <x:c r="AH109"/>
      <x:c r="AI109" t="str">
        <x:v>2026-09-03</x:v>
      </x:c>
      <x:c r="AJ109" s="85" t="str">
        <x:v>https://www.datacentermap.com/usa/tennessee/nashville/</x:v>
      </x:c>
      <x:c r="AK109" s="85" t="str">
        <x:v>https://www.datacentermap.com/usa/tennessee/nashville/</x:v>
      </x:c>
      <x:c r="AL109" s="85" t="str">
        <x:v>https://www.datacentermap.com/usa/tennessee/nashville/</x:v>
      </x:c>
      <x:c r="AM109" s="85" t="str">
        <x:v>Operator materials identify a 10,000-square-foot, 2 MW Murfreesboro facility operating since 2016.</x:v>
      </x:c>
      <x:c r="AN109" t="str">
        <x:v>core_data_center</x:v>
      </x:c>
      <x:c r="AO109" s="76" t="b">
        <x:v>1</x:v>
      </x:c>
      <x:c r="AP109" t="str">
        <x:v>Data Suites</x:v>
      </x:c>
      <x:c r="AQ109" t="str">
        <x:v>data suites murfreesboro</x:v>
      </x:c>
      <x:c r="AR109" t="str">
        <x:v>1020 w college st</x:v>
      </x:c>
    </x:row>
    <x:row r="110">
      <x:c r="A110" t="str">
        <x:v>windstreamwholesale.com</x:v>
      </x:c>
      <x:c r="B110" t="str">
        <x:v>verification:tndc-053:01</x:v>
      </x:c>
      <x:c r="C110" t="str">
        <x:v>Windstream / Uniti Brentwood</x:v>
      </x:c>
      <x:c r="D110"/>
      <x:c r="E110" t="str">
        <x:v>Uniti Wholesale</x:v>
      </x:c>
      <x:c r="F110"/>
      <x:c r="G110" t="str">
        <x:v>105 Westwood Pl</x:v>
      </x:c>
      <x:c r="H110"/>
      <x:c r="I110" t="str">
        <x:v>Brentwood</x:v>
      </x:c>
      <x:c r="J110" t="str">
        <x:v>Williamson</x:v>
      </x:c>
      <x:c r="K110" t="str">
        <x:v>TN</x:v>
      </x:c>
      <x:c r="L110" t="str">
        <x:v>37027</x:v>
      </x:c>
      <x:c r="M110" t="n">
        <x:v>36.037186</x:v>
      </x:c>
      <x:c r="N110" t="n">
        <x:v>-86.806206</x:v>
      </x:c>
      <x:c r="O110" t="str">
        <x:v>address_or_site</x:v>
      </x:c>
      <x:c r="P110" t="str">
        <x:v>high</x:v>
      </x:c>
      <x:c r="Q110" t="str">
        <x:v>Public-source verification; unknown coordinates were not inferred.</x:v>
      </x:c>
      <x:c r="R110" t="str">
        <x:v>operational</x:v>
      </x:c>
      <x:c r="S110" t="str">
        <x:v>operational</x:v>
      </x:c>
      <x:c r="T110" t="str">
        <x:v>interconnection_facility</x:v>
      </x:c>
      <x:c r="U110"/>
      <x:c r="V110"/>
      <x:c r="W110"/>
      <x:c r="X110"/>
      <x:c r="Y110" t="n">
        <x:v>22000</x:v>
      </x:c>
      <x:c r="Z110"/>
      <x:c r="AA110"/>
      <x:c r="AB110"/>
      <x:c r="AC110"/>
      <x:c r="AD110"/>
      <x:c r="AE110"/>
      <x:c r="AF110"/>
      <x:c r="AG110"/>
      <x:c r="AH110"/>
      <x:c r="AI110" t="str">
        <x:v>2026-09-03</x:v>
      </x:c>
      <x:c r="AJ110" s="85" t="str">
        <x:v>https://www.windstreamwholesale.com/wp-content/uploads/2024/05/WW-nationwide-network-map.pdf</x:v>
      </x:c>
      <x:c r="AK110" s="85" t="str">
        <x:v>https://www.windstreamwholesale.com/wp-content/uploads/2024/05/WW-nationwide-network-map.pdf</x:v>
      </x:c>
      <x:c r="AL110" s="85" t="str">
        <x:v>https://www.windstreamwholesale.com/wp-content/uploads/2024/05/WW-nationwide-network-map.pdf</x:v>
      </x:c>
      <x:c r="AM110" s="85" t="str">
        <x:v>Current network map and regional reporting identify the 22,000-square-foot Brentwood facility.</x:v>
      </x:c>
      <x:c r="AN110" t="str">
        <x:v>core_data_center</x:v>
      </x:c>
      <x:c r="AO110" s="76" t="b">
        <x:v>1</x:v>
      </x:c>
      <x:c r="AP110" t="str">
        <x:v>Uniti Wholesale</x:v>
      </x:c>
      <x:c r="AQ110" t="str">
        <x:v>windstream / uniti brentwood</x:v>
      </x:c>
      <x:c r="AR110" t="str">
        <x:v>105 westwood pl</x:v>
      </x:c>
    </x:row>
    <x:row r="111">
      <x:c r="A111" t="str">
        <x:v>datacenters.com</x:v>
      </x:c>
      <x:c r="B111" t="str">
        <x:v>verification:tndc-053:02</x:v>
      </x:c>
      <x:c r="C111" t="str">
        <x:v>Windstream / Uniti Brentwood</x:v>
      </x:c>
      <x:c r="D111"/>
      <x:c r="E111" t="str">
        <x:v>Uniti Wholesale</x:v>
      </x:c>
      <x:c r="F111"/>
      <x:c r="G111" t="str">
        <x:v>105 Westwood Pl</x:v>
      </x:c>
      <x:c r="H111"/>
      <x:c r="I111" t="str">
        <x:v>Brentwood</x:v>
      </x:c>
      <x:c r="J111" t="str">
        <x:v>Williamson</x:v>
      </x:c>
      <x:c r="K111" t="str">
        <x:v>TN</x:v>
      </x:c>
      <x:c r="L111" t="str">
        <x:v>37027</x:v>
      </x:c>
      <x:c r="M111" t="n">
        <x:v>36.037186</x:v>
      </x:c>
      <x:c r="N111" t="n">
        <x:v>-86.806206</x:v>
      </x:c>
      <x:c r="O111" t="str">
        <x:v>address_or_site</x:v>
      </x:c>
      <x:c r="P111" t="str">
        <x:v>high</x:v>
      </x:c>
      <x:c r="Q111" t="str">
        <x:v>Public-source verification; unknown coordinates were not inferred.</x:v>
      </x:c>
      <x:c r="R111" t="str">
        <x:v>operational</x:v>
      </x:c>
      <x:c r="S111" t="str">
        <x:v>operational</x:v>
      </x:c>
      <x:c r="T111" t="str">
        <x:v>interconnection_facility</x:v>
      </x:c>
      <x:c r="U111"/>
      <x:c r="V111"/>
      <x:c r="W111"/>
      <x:c r="X111"/>
      <x:c r="Y111" t="n">
        <x:v>22000</x:v>
      </x:c>
      <x:c r="Z111"/>
      <x:c r="AA111"/>
      <x:c r="AB111"/>
      <x:c r="AC111"/>
      <x:c r="AD111"/>
      <x:c r="AE111"/>
      <x:c r="AF111"/>
      <x:c r="AG111"/>
      <x:c r="AH111"/>
      <x:c r="AI111" t="str">
        <x:v>2026-09-03</x:v>
      </x:c>
      <x:c r="AJ111" s="85" t="str">
        <x:v>https://www.datacenters.com/providers/windstream/locations/united-states</x:v>
      </x:c>
      <x:c r="AK111" s="85" t="str">
        <x:v>https://www.datacenters.com/providers/windstream/locations/united-states</x:v>
      </x:c>
      <x:c r="AL111" s="85" t="str">
        <x:v>https://www.datacenters.com/providers/windstream/locations/united-states</x:v>
      </x:c>
      <x:c r="AM111" s="85" t="str">
        <x:v>Current network map and regional reporting identify the 22,000-square-foot Brentwood facility.</x:v>
      </x:c>
      <x:c r="AN111" t="str">
        <x:v>core_data_center</x:v>
      </x:c>
      <x:c r="AO111" s="76" t="b">
        <x:v>1</x:v>
      </x:c>
      <x:c r="AP111" t="str">
        <x:v>Uniti Wholesale</x:v>
      </x:c>
      <x:c r="AQ111" t="str">
        <x:v>windstream / uniti brentwood</x:v>
      </x:c>
      <x:c r="AR111" t="str">
        <x:v>105 westwood pl</x:v>
      </x:c>
    </x:row>
    <x:row r="112">
      <x:c r="A112" t="str">
        <x:v>newschannel5.com</x:v>
      </x:c>
      <x:c r="B112" t="str">
        <x:v>verification:tndc-053:03</x:v>
      </x:c>
      <x:c r="C112" t="str">
        <x:v>Windstream / Uniti Brentwood</x:v>
      </x:c>
      <x:c r="D112"/>
      <x:c r="E112" t="str">
        <x:v>Uniti Wholesale</x:v>
      </x:c>
      <x:c r="F112"/>
      <x:c r="G112" t="str">
        <x:v>105 Westwood Pl</x:v>
      </x:c>
      <x:c r="H112"/>
      <x:c r="I112" t="str">
        <x:v>Brentwood</x:v>
      </x:c>
      <x:c r="J112" t="str">
        <x:v>Williamson</x:v>
      </x:c>
      <x:c r="K112" t="str">
        <x:v>TN</x:v>
      </x:c>
      <x:c r="L112" t="str">
        <x:v>37027</x:v>
      </x:c>
      <x:c r="M112" t="n">
        <x:v>36.037186</x:v>
      </x:c>
      <x:c r="N112" t="n">
        <x:v>-86.806206</x:v>
      </x:c>
      <x:c r="O112" t="str">
        <x:v>address_or_site</x:v>
      </x:c>
      <x:c r="P112" t="str">
        <x:v>high</x:v>
      </x:c>
      <x:c r="Q112" t="str">
        <x:v>Public-source verification; unknown coordinates were not inferred.</x:v>
      </x:c>
      <x:c r="R112" t="str">
        <x:v>operational</x:v>
      </x:c>
      <x:c r="S112" t="str">
        <x:v>operational</x:v>
      </x:c>
      <x:c r="T112" t="str">
        <x:v>interconnection_facility</x:v>
      </x:c>
      <x:c r="U112"/>
      <x:c r="V112"/>
      <x:c r="W112"/>
      <x:c r="X112"/>
      <x:c r="Y112" t="n">
        <x:v>22000</x:v>
      </x:c>
      <x:c r="Z112"/>
      <x:c r="AA112"/>
      <x:c r="AB112"/>
      <x:c r="AC112"/>
      <x:c r="AD112"/>
      <x:c r="AE112"/>
      <x:c r="AF112"/>
      <x:c r="AG112"/>
      <x:c r="AH112"/>
      <x:c r="AI112" t="str">
        <x:v>2026-09-03</x:v>
      </x:c>
      <x:c r="AJ112" s="85" t="str">
        <x:v>https://www.newschannel5.com/news/how-big-are-middle-tennessees-data-centers-a-look-at-facilities-already-operating</x:v>
      </x:c>
      <x:c r="AK112" s="85" t="str">
        <x:v>https://www.newschannel5.com/news/how-big-are-middle-tennessees-data-centers-a-look-at-facilities-already-operating</x:v>
      </x:c>
      <x:c r="AL112" s="85" t="str">
        <x:v>https://www.newschannel5.com/news/how-big-are-middle-tennessees-data-centers-a-look-at-facilities-already-operating</x:v>
      </x:c>
      <x:c r="AM112" s="85" t="str">
        <x:v>Current network map and regional reporting identify the 22,000-square-foot Brentwood facility.</x:v>
      </x:c>
      <x:c r="AN112" t="str">
        <x:v>core_data_center</x:v>
      </x:c>
      <x:c r="AO112" s="76" t="b">
        <x:v>1</x:v>
      </x:c>
      <x:c r="AP112" t="str">
        <x:v>Uniti Wholesale</x:v>
      </x:c>
      <x:c r="AQ112" t="str">
        <x:v>windstream / uniti brentwood</x:v>
      </x:c>
      <x:c r="AR112" t="str">
        <x:v>105 westwood pl</x:v>
      </x:c>
    </x:row>
    <x:row r="113">
      <x:c r="A113" t="str">
        <x:v>datacentermap.com</x:v>
      </x:c>
      <x:c r="B113" t="str">
        <x:v>verification:tndc-054:01</x:v>
      </x:c>
      <x:c r="C113" t="str">
        <x:v>Lumen Nashville 2</x:v>
      </x:c>
      <x:c r="D113"/>
      <x:c r="E113" t="str">
        <x:v>Lumen Technologies</x:v>
      </x:c>
      <x:c r="F113"/>
      <x:c r="G113" t="str">
        <x:v>2530 Perimeter Place Drive</x:v>
      </x:c>
      <x:c r="H113"/>
      <x:c r="I113" t="str">
        <x:v>Nashville</x:v>
      </x:c>
      <x:c r="J113" t="str">
        <x:v>Davidson</x:v>
      </x:c>
      <x:c r="K113" t="str">
        <x:v>TN</x:v>
      </x:c>
      <x:c r="L113" t="str">
        <x:v>37214</x:v>
      </x:c>
      <x:c r="M113"/>
      <x:c r="N113"/>
      <x:c r="O113" t="str">
        <x:v>address_or_site</x:v>
      </x:c>
      <x:c r="P113" t="str">
        <x:v>high</x:v>
      </x:c>
      <x:c r="Q113" t="str">
        <x:v>Public-source verification; unknown coordinates were not inferred.</x:v>
      </x:c>
      <x:c r="R113" t="str">
        <x:v>operational</x:v>
      </x:c>
      <x:c r="S113" t="str">
        <x:v>operational</x:v>
      </x:c>
      <x:c r="T113" t="str">
        <x:v>data_center</x:v>
      </x:c>
      <x:c r="U113"/>
      <x:c r="V113"/>
      <x:c r="W113"/>
      <x:c r="X113"/>
      <x:c r="Y113" t="n">
        <x:v>30400</x:v>
      </x:c>
      <x:c r="Z113"/>
      <x:c r="AA113"/>
      <x:c r="AB113"/>
      <x:c r="AC113"/>
      <x:c r="AD113"/>
      <x:c r="AE113"/>
      <x:c r="AF113"/>
      <x:c r="AG113"/>
      <x:c r="AH113"/>
      <x:c r="AI113" t="str">
        <x:v>2026-09-03</x:v>
      </x:c>
      <x:c r="AJ113" s="85" t="str">
        <x:v>https://www.datacentermap.com/usa/tennessee/nashville/</x:v>
      </x:c>
      <x:c r="AK113" s="85" t="str">
        <x:v>https://www.datacentermap.com/usa/tennessee/nashville/</x:v>
      </x:c>
      <x:c r="AL113" s="85" t="str">
        <x:v>https://www.datacentermap.com/usa/tennessee/nashville/</x:v>
      </x:c>
      <x:c r="AM113" s="85" t="str">
        <x:v>Current regional reporting and industry directory data corroborate the operating Lumen/Level 3 site.</x:v>
      </x:c>
      <x:c r="AN113" t="str">
        <x:v>core_data_center</x:v>
      </x:c>
      <x:c r="AO113" s="76" t="b">
        <x:v>1</x:v>
      </x:c>
      <x:c r="AP113" t="str">
        <x:v>Lumen Technologies</x:v>
      </x:c>
      <x:c r="AQ113" t="str">
        <x:v>lumen nashville 2</x:v>
      </x:c>
      <x:c r="AR113" t="str">
        <x:v>2530 perimeter place drive</x:v>
      </x:c>
    </x:row>
    <x:row r="114">
      <x:c r="A114" t="str">
        <x:v>tnecd.com</x:v>
      </x:c>
      <x:c r="B114" t="str">
        <x:v>verification:tndc-054:02</x:v>
      </x:c>
      <x:c r="C114" t="str">
        <x:v>Lumen Nashville 2</x:v>
      </x:c>
      <x:c r="D114"/>
      <x:c r="E114" t="str">
        <x:v>Lumen Technologies</x:v>
      </x:c>
      <x:c r="F114"/>
      <x:c r="G114" t="str">
        <x:v>2530 Perimeter Place Drive</x:v>
      </x:c>
      <x:c r="H114"/>
      <x:c r="I114" t="str">
        <x:v>Nashville</x:v>
      </x:c>
      <x:c r="J114" t="str">
        <x:v>Davidson</x:v>
      </x:c>
      <x:c r="K114" t="str">
        <x:v>TN</x:v>
      </x:c>
      <x:c r="L114" t="str">
        <x:v>37214</x:v>
      </x:c>
      <x:c r="M114"/>
      <x:c r="N114"/>
      <x:c r="O114" t="str">
        <x:v>address_or_site</x:v>
      </x:c>
      <x:c r="P114" t="str">
        <x:v>high</x:v>
      </x:c>
      <x:c r="Q114" t="str">
        <x:v>Public-source verification; unknown coordinates were not inferred.</x:v>
      </x:c>
      <x:c r="R114" t="str">
        <x:v>operational</x:v>
      </x:c>
      <x:c r="S114" t="str">
        <x:v>operational</x:v>
      </x:c>
      <x:c r="T114" t="str">
        <x:v>data_center</x:v>
      </x:c>
      <x:c r="U114"/>
      <x:c r="V114"/>
      <x:c r="W114"/>
      <x:c r="X114"/>
      <x:c r="Y114" t="n">
        <x:v>30400</x:v>
      </x:c>
      <x:c r="Z114"/>
      <x:c r="AA114"/>
      <x:c r="AB114"/>
      <x:c r="AC114"/>
      <x:c r="AD114"/>
      <x:c r="AE114"/>
      <x:c r="AF114"/>
      <x:c r="AG114"/>
      <x:c r="AH114"/>
      <x:c r="AI114" t="str">
        <x:v>2026-09-03</x:v>
      </x:c>
      <x:c r="AJ114" s="85" t="str">
        <x:v>https://tnecd.com/wp-content/uploads/2018/10/business-services.pdf</x:v>
      </x:c>
      <x:c r="AK114" s="85" t="str">
        <x:v>https://tnecd.com/wp-content/uploads/2018/10/business-services.pdf</x:v>
      </x:c>
      <x:c r="AL114" s="85" t="str">
        <x:v>https://tnecd.com/wp-content/uploads/2018/10/business-services.pdf</x:v>
      </x:c>
      <x:c r="AM114" s="85" t="str">
        <x:v>Current regional reporting and industry directory data corroborate the operating Lumen/Level 3 site.</x:v>
      </x:c>
      <x:c r="AN114" t="str">
        <x:v>core_data_center</x:v>
      </x:c>
      <x:c r="AO114" s="76" t="b">
        <x:v>1</x:v>
      </x:c>
      <x:c r="AP114" t="str">
        <x:v>Lumen Technologies</x:v>
      </x:c>
      <x:c r="AQ114" t="str">
        <x:v>lumen nashville 2</x:v>
      </x:c>
      <x:c r="AR114" t="str">
        <x:v>2530 perimeter place drive</x:v>
      </x:c>
    </x:row>
    <x:row r="115">
      <x:c r="A115" t="str">
        <x:v>newschannel5.com</x:v>
      </x:c>
      <x:c r="B115" t="str">
        <x:v>verification:tndc-054:03</x:v>
      </x:c>
      <x:c r="C115" t="str">
        <x:v>Lumen Nashville 2</x:v>
      </x:c>
      <x:c r="D115"/>
      <x:c r="E115" t="str">
        <x:v>Lumen Technologies</x:v>
      </x:c>
      <x:c r="F115"/>
      <x:c r="G115" t="str">
        <x:v>2530 Perimeter Place Drive</x:v>
      </x:c>
      <x:c r="H115"/>
      <x:c r="I115" t="str">
        <x:v>Nashville</x:v>
      </x:c>
      <x:c r="J115" t="str">
        <x:v>Davidson</x:v>
      </x:c>
      <x:c r="K115" t="str">
        <x:v>TN</x:v>
      </x:c>
      <x:c r="L115" t="str">
        <x:v>37214</x:v>
      </x:c>
      <x:c r="M115"/>
      <x:c r="N115"/>
      <x:c r="O115" t="str">
        <x:v>address_or_site</x:v>
      </x:c>
      <x:c r="P115" t="str">
        <x:v>high</x:v>
      </x:c>
      <x:c r="Q115" t="str">
        <x:v>Public-source verification; unknown coordinates were not inferred.</x:v>
      </x:c>
      <x:c r="R115" t="str">
        <x:v>operational</x:v>
      </x:c>
      <x:c r="S115" t="str">
        <x:v>operational</x:v>
      </x:c>
      <x:c r="T115" t="str">
        <x:v>data_center</x:v>
      </x:c>
      <x:c r="U115"/>
      <x:c r="V115"/>
      <x:c r="W115"/>
      <x:c r="X115"/>
      <x:c r="Y115" t="n">
        <x:v>30400</x:v>
      </x:c>
      <x:c r="Z115"/>
      <x:c r="AA115"/>
      <x:c r="AB115"/>
      <x:c r="AC115"/>
      <x:c r="AD115"/>
      <x:c r="AE115"/>
      <x:c r="AF115"/>
      <x:c r="AG115"/>
      <x:c r="AH115"/>
      <x:c r="AI115" t="str">
        <x:v>2026-09-03</x:v>
      </x:c>
      <x:c r="AJ115" s="85" t="str">
        <x:v>https://www.newschannel5.com/news/how-big-are-middle-tennessees-data-centers-a-look-at-facilities-already-operating</x:v>
      </x:c>
      <x:c r="AK115" s="85" t="str">
        <x:v>https://www.newschannel5.com/news/how-big-are-middle-tennessees-data-centers-a-look-at-facilities-already-operating</x:v>
      </x:c>
      <x:c r="AL115" s="85" t="str">
        <x:v>https://www.newschannel5.com/news/how-big-are-middle-tennessees-data-centers-a-look-at-facilities-already-operating</x:v>
      </x:c>
      <x:c r="AM115" s="85" t="str">
        <x:v>Current regional reporting and industry directory data corroborate the operating Lumen/Level 3 site.</x:v>
      </x:c>
      <x:c r="AN115" t="str">
        <x:v>core_data_center</x:v>
      </x:c>
      <x:c r="AO115" s="76" t="b">
        <x:v>1</x:v>
      </x:c>
      <x:c r="AP115" t="str">
        <x:v>Lumen Technologies</x:v>
      </x:c>
      <x:c r="AQ115" t="str">
        <x:v>lumen nashville 2</x:v>
      </x:c>
      <x:c r="AR115" t="str">
        <x:v>2530 perimeter place drive</x:v>
      </x:c>
    </x:row>
    <x:row r="116">
      <x:c r="A116" t="str">
        <x:v>lumen.com</x:v>
      </x:c>
      <x:c r="B116" t="str">
        <x:v>verification:tndc-054:04</x:v>
      </x:c>
      <x:c r="C116" t="str">
        <x:v>Lumen Nashville 2</x:v>
      </x:c>
      <x:c r="D116"/>
      <x:c r="E116" t="str">
        <x:v>Lumen Technologies</x:v>
      </x:c>
      <x:c r="F116"/>
      <x:c r="G116" t="str">
        <x:v>2530 Perimeter Place Drive</x:v>
      </x:c>
      <x:c r="H116"/>
      <x:c r="I116" t="str">
        <x:v>Nashville</x:v>
      </x:c>
      <x:c r="J116" t="str">
        <x:v>Davidson</x:v>
      </x:c>
      <x:c r="K116" t="str">
        <x:v>TN</x:v>
      </x:c>
      <x:c r="L116" t="str">
        <x:v>37214</x:v>
      </x:c>
      <x:c r="M116"/>
      <x:c r="N116"/>
      <x:c r="O116" t="str">
        <x:v>address_or_site</x:v>
      </x:c>
      <x:c r="P116" t="str">
        <x:v>high</x:v>
      </x:c>
      <x:c r="Q116" t="str">
        <x:v>Public-source verification; unknown coordinates were not inferred.</x:v>
      </x:c>
      <x:c r="R116" t="str">
        <x:v>operational</x:v>
      </x:c>
      <x:c r="S116" t="str">
        <x:v>operational</x:v>
      </x:c>
      <x:c r="T116" t="str">
        <x:v>data_center</x:v>
      </x:c>
      <x:c r="U116"/>
      <x:c r="V116"/>
      <x:c r="W116"/>
      <x:c r="X116"/>
      <x:c r="Y116" t="n">
        <x:v>30400</x:v>
      </x:c>
      <x:c r="Z116"/>
      <x:c r="AA116"/>
      <x:c r="AB116"/>
      <x:c r="AC116"/>
      <x:c r="AD116"/>
      <x:c r="AE116"/>
      <x:c r="AF116"/>
      <x:c r="AG116"/>
      <x:c r="AH116"/>
      <x:c r="AI116" t="str">
        <x:v>2026-09-03</x:v>
      </x:c>
      <x:c r="AJ116" s="85" t="str">
        <x:v>https://www.lumen.com/en-us/services/colocation.html</x:v>
      </x:c>
      <x:c r="AK116" s="85" t="str">
        <x:v>https://www.lumen.com/en-us/services/colocation.html</x:v>
      </x:c>
      <x:c r="AL116" s="85" t="str">
        <x:v>https://www.lumen.com/en-us/services/colocation.html</x:v>
      </x:c>
      <x:c r="AM116" s="85" t="str">
        <x:v>Current regional reporting and industry directory data corroborate the operating Lumen/Level 3 site.</x:v>
      </x:c>
      <x:c r="AN116" t="str">
        <x:v>core_data_center</x:v>
      </x:c>
      <x:c r="AO116" s="76" t="b">
        <x:v>1</x:v>
      </x:c>
      <x:c r="AP116" t="str">
        <x:v>Lumen Technologies</x:v>
      </x:c>
      <x:c r="AQ116" t="str">
        <x:v>lumen nashville 2</x:v>
      </x:c>
      <x:c r="AR116" t="str">
        <x:v>2530 perimeter place drive</x:v>
      </x:c>
    </x:row>
    <x:row r="117">
      <x:c r="A117" t="str">
        <x:v>datacentermap.com</x:v>
      </x:c>
      <x:c r="B117" t="str">
        <x:v>verification:tndc-055:01</x:v>
      </x:c>
      <x:c r="C117" t="str">
        <x:v>Lumen Nashville 4 / Berry Hill</x:v>
      </x:c>
      <x:c r="D117"/>
      <x:c r="E117" t="str">
        <x:v>Lumen Technologies</x:v>
      </x:c>
      <x:c r="F117"/>
      <x:c r="G117" t="str">
        <x:v>708 Melrose Ave</x:v>
      </x:c>
      <x:c r="H117"/>
      <x:c r="I117" t="str">
        <x:v>Nashville</x:v>
      </x:c>
      <x:c r="J117" t="str">
        <x:v>Davidson</x:v>
      </x:c>
      <x:c r="K117" t="str">
        <x:v>TN</x:v>
      </x:c>
      <x:c r="L117" t="str">
        <x:v>37211</x:v>
      </x:c>
      <x:c r="M117" t="n">
        <x:v>36.1202759</x:v>
      </x:c>
      <x:c r="N117" t="n">
        <x:v>-86.7623382</x:v>
      </x:c>
      <x:c r="O117" t="str">
        <x:v>address_or_site</x:v>
      </x:c>
      <x:c r="P117" t="str">
        <x:v>high</x:v>
      </x:c>
      <x:c r="Q117" t="str">
        <x:v>Public-source verification; unknown coordinates were not inferred.</x:v>
      </x:c>
      <x:c r="R117" t="str">
        <x:v>operational</x:v>
      </x:c>
      <x:c r="S117" t="str">
        <x:v>operational</x:v>
      </x:c>
      <x:c r="T117" t="str">
        <x:v>data_center</x:v>
      </x:c>
      <x:c r="U117"/>
      <x:c r="V117"/>
      <x:c r="W117"/>
      <x:c r="X117"/>
      <x:c r="Y117" t="n">
        <x:v>2500</x:v>
      </x:c>
      <x:c r="Z117"/>
      <x:c r="AA117"/>
      <x:c r="AB117"/>
      <x:c r="AC117"/>
      <x:c r="AD117"/>
      <x:c r="AE117"/>
      <x:c r="AF117"/>
      <x:c r="AG117"/>
      <x:c r="AH117"/>
      <x:c r="AI117" t="str">
        <x:v>2026-09-03</x:v>
      </x:c>
      <x:c r="AJ117" s="85" t="str">
        <x:v>https://www.datacentermap.com/usa/tennessee/nashville/</x:v>
      </x:c>
      <x:c r="AK117" s="85" t="str">
        <x:v>https://www.datacentermap.com/usa/tennessee/nashville/</x:v>
      </x:c>
      <x:c r="AL117" s="85" t="str">
        <x:v>https://www.datacentermap.com/usa/tennessee/nashville/</x:v>
      </x:c>
      <x:c r="AM117" s="85" t="str">
        <x:v>Regional reporting and current data-center directories identify the Berry Hill facility; legacy Level 3 branding is retained.</x:v>
      </x:c>
      <x:c r="AN117" t="str">
        <x:v>core_data_center</x:v>
      </x:c>
      <x:c r="AO117" s="76" t="b">
        <x:v>1</x:v>
      </x:c>
      <x:c r="AP117" t="str">
        <x:v>Lumen Technologies</x:v>
      </x:c>
      <x:c r="AQ117" t="str">
        <x:v>lumen nashville 4 / berry hill</x:v>
      </x:c>
      <x:c r="AR117" t="str">
        <x:v>708 melrose ave</x:v>
      </x:c>
    </x:row>
    <x:row r="118">
      <x:c r="A118" t="str">
        <x:v>datacenters.com</x:v>
      </x:c>
      <x:c r="B118" t="str">
        <x:v>verification:tndc-055:02</x:v>
      </x:c>
      <x:c r="C118" t="str">
        <x:v>Lumen Nashville 4 / Berry Hill</x:v>
      </x:c>
      <x:c r="D118"/>
      <x:c r="E118" t="str">
        <x:v>Lumen Technologies</x:v>
      </x:c>
      <x:c r="F118"/>
      <x:c r="G118" t="str">
        <x:v>708 Melrose Ave</x:v>
      </x:c>
      <x:c r="H118"/>
      <x:c r="I118" t="str">
        <x:v>Nashville</x:v>
      </x:c>
      <x:c r="J118" t="str">
        <x:v>Davidson</x:v>
      </x:c>
      <x:c r="K118" t="str">
        <x:v>TN</x:v>
      </x:c>
      <x:c r="L118" t="str">
        <x:v>37211</x:v>
      </x:c>
      <x:c r="M118" t="n">
        <x:v>36.1202759</x:v>
      </x:c>
      <x:c r="N118" t="n">
        <x:v>-86.7623382</x:v>
      </x:c>
      <x:c r="O118" t="str">
        <x:v>address_or_site</x:v>
      </x:c>
      <x:c r="P118" t="str">
        <x:v>high</x:v>
      </x:c>
      <x:c r="Q118" t="str">
        <x:v>Public-source verification; unknown coordinates were not inferred.</x:v>
      </x:c>
      <x:c r="R118" t="str">
        <x:v>operational</x:v>
      </x:c>
      <x:c r="S118" t="str">
        <x:v>operational</x:v>
      </x:c>
      <x:c r="T118" t="str">
        <x:v>data_center</x:v>
      </x:c>
      <x:c r="U118"/>
      <x:c r="V118"/>
      <x:c r="W118"/>
      <x:c r="X118"/>
      <x:c r="Y118" t="n">
        <x:v>2500</x:v>
      </x:c>
      <x:c r="Z118"/>
      <x:c r="AA118"/>
      <x:c r="AB118"/>
      <x:c r="AC118"/>
      <x:c r="AD118"/>
      <x:c r="AE118"/>
      <x:c r="AF118"/>
      <x:c r="AG118"/>
      <x:c r="AH118"/>
      <x:c r="AI118" t="str">
        <x:v>2026-09-03</x:v>
      </x:c>
      <x:c r="AJ118" s="85" t="str">
        <x:v>https://www.datacenters.com/lumen-berry-hill</x:v>
      </x:c>
      <x:c r="AK118" s="85" t="str">
        <x:v>https://www.datacenters.com/lumen-berry-hill</x:v>
      </x:c>
      <x:c r="AL118" s="85" t="str">
        <x:v>https://www.datacenters.com/lumen-berry-hill</x:v>
      </x:c>
      <x:c r="AM118" s="85" t="str">
        <x:v>Regional reporting and current data-center directories identify the Berry Hill facility; legacy Level 3 branding is retained.</x:v>
      </x:c>
      <x:c r="AN118" t="str">
        <x:v>core_data_center</x:v>
      </x:c>
      <x:c r="AO118" s="76" t="b">
        <x:v>1</x:v>
      </x:c>
      <x:c r="AP118" t="str">
        <x:v>Lumen Technologies</x:v>
      </x:c>
      <x:c r="AQ118" t="str">
        <x:v>lumen nashville 4 / berry hill</x:v>
      </x:c>
      <x:c r="AR118" t="str">
        <x:v>708 melrose ave</x:v>
      </x:c>
    </x:row>
    <x:row r="119">
      <x:c r="A119" t="str">
        <x:v>newschannel5.com</x:v>
      </x:c>
      <x:c r="B119" t="str">
        <x:v>verification:tndc-055:03</x:v>
      </x:c>
      <x:c r="C119" t="str">
        <x:v>Lumen Nashville 4 / Berry Hill</x:v>
      </x:c>
      <x:c r="D119"/>
      <x:c r="E119" t="str">
        <x:v>Lumen Technologies</x:v>
      </x:c>
      <x:c r="F119"/>
      <x:c r="G119" t="str">
        <x:v>708 Melrose Ave</x:v>
      </x:c>
      <x:c r="H119"/>
      <x:c r="I119" t="str">
        <x:v>Nashville</x:v>
      </x:c>
      <x:c r="J119" t="str">
        <x:v>Davidson</x:v>
      </x:c>
      <x:c r="K119" t="str">
        <x:v>TN</x:v>
      </x:c>
      <x:c r="L119" t="str">
        <x:v>37211</x:v>
      </x:c>
      <x:c r="M119" t="n">
        <x:v>36.1202759</x:v>
      </x:c>
      <x:c r="N119" t="n">
        <x:v>-86.7623382</x:v>
      </x:c>
      <x:c r="O119" t="str">
        <x:v>address_or_site</x:v>
      </x:c>
      <x:c r="P119" t="str">
        <x:v>high</x:v>
      </x:c>
      <x:c r="Q119" t="str">
        <x:v>Public-source verification; unknown coordinates were not inferred.</x:v>
      </x:c>
      <x:c r="R119" t="str">
        <x:v>operational</x:v>
      </x:c>
      <x:c r="S119" t="str">
        <x:v>operational</x:v>
      </x:c>
      <x:c r="T119" t="str">
        <x:v>data_center</x:v>
      </x:c>
      <x:c r="U119"/>
      <x:c r="V119"/>
      <x:c r="W119"/>
      <x:c r="X119"/>
      <x:c r="Y119" t="n">
        <x:v>2500</x:v>
      </x:c>
      <x:c r="Z119"/>
      <x:c r="AA119"/>
      <x:c r="AB119"/>
      <x:c r="AC119"/>
      <x:c r="AD119"/>
      <x:c r="AE119"/>
      <x:c r="AF119"/>
      <x:c r="AG119"/>
      <x:c r="AH119"/>
      <x:c r="AI119" t="str">
        <x:v>2026-09-03</x:v>
      </x:c>
      <x:c r="AJ119" s="85" t="str">
        <x:v>https://www.newschannel5.com/news/how-big-are-middle-tennessees-data-centers-a-look-at-facilities-already-operating</x:v>
      </x:c>
      <x:c r="AK119" s="85" t="str">
        <x:v>https://www.newschannel5.com/news/how-big-are-middle-tennessees-data-centers-a-look-at-facilities-already-operating</x:v>
      </x:c>
      <x:c r="AL119" s="85" t="str">
        <x:v>https://www.newschannel5.com/news/how-big-are-middle-tennessees-data-centers-a-look-at-facilities-already-operating</x:v>
      </x:c>
      <x:c r="AM119" s="85" t="str">
        <x:v>Regional reporting and current data-center directories identify the Berry Hill facility; legacy Level 3 branding is retained.</x:v>
      </x:c>
      <x:c r="AN119" t="str">
        <x:v>core_data_center</x:v>
      </x:c>
      <x:c r="AO119" s="76" t="b">
        <x:v>1</x:v>
      </x:c>
      <x:c r="AP119" t="str">
        <x:v>Lumen Technologies</x:v>
      </x:c>
      <x:c r="AQ119" t="str">
        <x:v>lumen nashville 4 / berry hill</x:v>
      </x:c>
      <x:c r="AR119" t="str">
        <x:v>708 melrose ave</x:v>
      </x:c>
    </x:row>
    <x:row r="120">
      <x:c r="A120" t="str">
        <x:v>tnecd.com</x:v>
      </x:c>
      <x:c r="B120" t="str">
        <x:v>verification:tndc-055:04</x:v>
      </x:c>
      <x:c r="C120" t="str">
        <x:v>Lumen Nashville 4 / Berry Hill</x:v>
      </x:c>
      <x:c r="D120"/>
      <x:c r="E120" t="str">
        <x:v>Lumen Technologies</x:v>
      </x:c>
      <x:c r="F120"/>
      <x:c r="G120" t="str">
        <x:v>708 Melrose Ave</x:v>
      </x:c>
      <x:c r="H120"/>
      <x:c r="I120" t="str">
        <x:v>Nashville</x:v>
      </x:c>
      <x:c r="J120" t="str">
        <x:v>Davidson</x:v>
      </x:c>
      <x:c r="K120" t="str">
        <x:v>TN</x:v>
      </x:c>
      <x:c r="L120" t="str">
        <x:v>37211</x:v>
      </x:c>
      <x:c r="M120" t="n">
        <x:v>36.1202759</x:v>
      </x:c>
      <x:c r="N120" t="n">
        <x:v>-86.7623382</x:v>
      </x:c>
      <x:c r="O120" t="str">
        <x:v>address_or_site</x:v>
      </x:c>
      <x:c r="P120" t="str">
        <x:v>high</x:v>
      </x:c>
      <x:c r="Q120" t="str">
        <x:v>Public-source verification; unknown coordinates were not inferred.</x:v>
      </x:c>
      <x:c r="R120" t="str">
        <x:v>operational</x:v>
      </x:c>
      <x:c r="S120" t="str">
        <x:v>operational</x:v>
      </x:c>
      <x:c r="T120" t="str">
        <x:v>data_center</x:v>
      </x:c>
      <x:c r="U120"/>
      <x:c r="V120"/>
      <x:c r="W120"/>
      <x:c r="X120"/>
      <x:c r="Y120" t="n">
        <x:v>2500</x:v>
      </x:c>
      <x:c r="Z120"/>
      <x:c r="AA120"/>
      <x:c r="AB120"/>
      <x:c r="AC120"/>
      <x:c r="AD120"/>
      <x:c r="AE120"/>
      <x:c r="AF120"/>
      <x:c r="AG120"/>
      <x:c r="AH120"/>
      <x:c r="AI120" t="str">
        <x:v>2026-09-03</x:v>
      </x:c>
      <x:c r="AJ120" s="85" t="str">
        <x:v>https://tnecd.com/wp-content/uploads/2018/10/business-services.pdf</x:v>
      </x:c>
      <x:c r="AK120" s="85" t="str">
        <x:v>https://tnecd.com/wp-content/uploads/2018/10/business-services.pdf</x:v>
      </x:c>
      <x:c r="AL120" s="85" t="str">
        <x:v>https://tnecd.com/wp-content/uploads/2018/10/business-services.pdf</x:v>
      </x:c>
      <x:c r="AM120" s="85" t="str">
        <x:v>Regional reporting and current data-center directories identify the Berry Hill facility; legacy Level 3 branding is retained.</x:v>
      </x:c>
      <x:c r="AN120" t="str">
        <x:v>core_data_center</x:v>
      </x:c>
      <x:c r="AO120" s="76" t="b">
        <x:v>1</x:v>
      </x:c>
      <x:c r="AP120" t="str">
        <x:v>Lumen Technologies</x:v>
      </x:c>
      <x:c r="AQ120" t="str">
        <x:v>lumen nashville 4 / berry hill</x:v>
      </x:c>
      <x:c r="AR120" t="str">
        <x:v>708 melrose ave</x:v>
      </x:c>
    </x:row>
    <x:row r="121">
      <x:c r="A121" t="str">
        <x:v>datacentermap.com</x:v>
      </x:c>
      <x:c r="B121" t="str">
        <x:v>verification:tndc-056:01</x:v>
      </x:c>
      <x:c r="C121" t="str">
        <x:v>Saragon Nashville</x:v>
      </x:c>
      <x:c r="D121"/>
      <x:c r="E121" t="str">
        <x:v>Saragon</x:v>
      </x:c>
      <x:c r="F121"/>
      <x:c r="G121" t="str">
        <x:v>338 Woodycrest Ave</x:v>
      </x:c>
      <x:c r="H121"/>
      <x:c r="I121" t="str">
        <x:v>Nashville</x:v>
      </x:c>
      <x:c r="J121" t="str">
        <x:v>Davidson</x:v>
      </x:c>
      <x:c r="K121" t="str">
        <x:v>TN</x:v>
      </x:c>
      <x:c r="L121" t="str">
        <x:v>37210</x:v>
      </x:c>
      <x:c r="M121"/>
      <x:c r="N121"/>
      <x:c r="O121" t="str">
        <x:v>address_or_site</x:v>
      </x:c>
      <x:c r="P121" t="str">
        <x:v>high</x:v>
      </x:c>
      <x:c r="Q121" t="str">
        <x:v>Public-source verification; unknown coordinates were not inferred.</x:v>
      </x:c>
      <x:c r="R121" t="str">
        <x:v>operational</x:v>
      </x:c>
      <x:c r="S121" t="str">
        <x:v>operational</x:v>
      </x:c>
      <x:c r="T121" t="str">
        <x:v>data_center</x:v>
      </x:c>
      <x:c r="U121"/>
      <x:c r="V121" t="n">
        <x:v>2.5</x:v>
      </x:c>
      <x:c r="W121"/>
      <x:c r="X121"/>
      <x:c r="Y121" t="n">
        <x:v>27502</x:v>
      </x:c>
      <x:c r="Z121"/>
      <x:c r="AA121"/>
      <x:c r="AB121"/>
      <x:c r="AC121"/>
      <x:c r="AD121"/>
      <x:c r="AE121"/>
      <x:c r="AF121"/>
      <x:c r="AG121"/>
      <x:c r="AH121"/>
      <x:c r="AI121" t="str">
        <x:v>2026-09-03</x:v>
      </x:c>
      <x:c r="AJ121" s="85" t="str">
        <x:v>https://www.datacentermap.com/usa/tennessee/nashville/cogent-data-center-nashville/</x:v>
      </x:c>
      <x:c r="AK121" s="85" t="str">
        <x:v>https://www.datacentermap.com/usa/tennessee/nashville/cogent-data-center-nashville/</x:v>
      </x:c>
      <x:c r="AL121" s="85" t="str">
        <x:v>https://www.datacentermap.com/usa/tennessee/nashville/cogent-data-center-nashville/</x:v>
      </x:c>
      <x:c r="AM121" s="85" t="str">
        <x:v>Saragon announced the Nashville launch at the former Cogent facility; legacy operator is retained.</x:v>
      </x:c>
      <x:c r="AN121" t="str">
        <x:v>core_data_center</x:v>
      </x:c>
      <x:c r="AO121" s="76" t="b">
        <x:v>1</x:v>
      </x:c>
      <x:c r="AP121" t="str">
        <x:v>Saragon</x:v>
      </x:c>
      <x:c r="AQ121" t="str">
        <x:v>saragon nashville</x:v>
      </x:c>
      <x:c r="AR121" t="str">
        <x:v>338 woodycrest ave</x:v>
      </x:c>
    </x:row>
    <x:row r="122">
      <x:c r="A122" t="str">
        <x:v>nasdaq.com</x:v>
      </x:c>
      <x:c r="B122" t="str">
        <x:v>verification:tndc-056:02</x:v>
      </x:c>
      <x:c r="C122" t="str">
        <x:v>Saragon Nashville</x:v>
      </x:c>
      <x:c r="D122"/>
      <x:c r="E122" t="str">
        <x:v>Saragon</x:v>
      </x:c>
      <x:c r="F122"/>
      <x:c r="G122" t="str">
        <x:v>338 Woodycrest Ave</x:v>
      </x:c>
      <x:c r="H122"/>
      <x:c r="I122" t="str">
        <x:v>Nashville</x:v>
      </x:c>
      <x:c r="J122" t="str">
        <x:v>Davidson</x:v>
      </x:c>
      <x:c r="K122" t="str">
        <x:v>TN</x:v>
      </x:c>
      <x:c r="L122" t="str">
        <x:v>37210</x:v>
      </x:c>
      <x:c r="M122"/>
      <x:c r="N122"/>
      <x:c r="O122" t="str">
        <x:v>address_or_site</x:v>
      </x:c>
      <x:c r="P122" t="str">
        <x:v>high</x:v>
      </x:c>
      <x:c r="Q122" t="str">
        <x:v>Public-source verification; unknown coordinates were not inferred.</x:v>
      </x:c>
      <x:c r="R122" t="str">
        <x:v>operational</x:v>
      </x:c>
      <x:c r="S122" t="str">
        <x:v>operational</x:v>
      </x:c>
      <x:c r="T122" t="str">
        <x:v>data_center</x:v>
      </x:c>
      <x:c r="U122"/>
      <x:c r="V122" t="n">
        <x:v>2.5</x:v>
      </x:c>
      <x:c r="W122"/>
      <x:c r="X122"/>
      <x:c r="Y122" t="n">
        <x:v>27502</x:v>
      </x:c>
      <x:c r="Z122"/>
      <x:c r="AA122"/>
      <x:c r="AB122"/>
      <x:c r="AC122"/>
      <x:c r="AD122"/>
      <x:c r="AE122"/>
      <x:c r="AF122"/>
      <x:c r="AG122"/>
      <x:c r="AH122"/>
      <x:c r="AI122" t="str">
        <x:v>2026-09-03</x:v>
      </x:c>
      <x:c r="AJ122" s="85" t="str">
        <x:v>https://www.nasdaq.com/press-release/saragon-launches-new-us-data-center-company-purpose-built-ai-inference-and-edge</x:v>
      </x:c>
      <x:c r="AK122" s="85" t="str">
        <x:v>https://www.nasdaq.com/press-release/saragon-launches-new-us-data-center-company-purpose-built-ai-inference-and-edge</x:v>
      </x:c>
      <x:c r="AL122" s="85" t="str">
        <x:v>https://www.nasdaq.com/press-release/saragon-launches-new-us-data-center-company-purpose-built-ai-inference-and-edge</x:v>
      </x:c>
      <x:c r="AM122" s="85" t="str">
        <x:v>Saragon announced the Nashville launch at the former Cogent facility; legacy operator is retained.</x:v>
      </x:c>
      <x:c r="AN122" t="str">
        <x:v>core_data_center</x:v>
      </x:c>
      <x:c r="AO122" s="76" t="b">
        <x:v>1</x:v>
      </x:c>
      <x:c r="AP122" t="str">
        <x:v>Saragon</x:v>
      </x:c>
      <x:c r="AQ122" t="str">
        <x:v>saragon nashville</x:v>
      </x:c>
      <x:c r="AR122" t="str">
        <x:v>338 woodycrest ave</x:v>
      </x:c>
    </x:row>
    <x:row r="123">
      <x:c r="A123" t="str">
        <x:v>newschannel5.com</x:v>
      </x:c>
      <x:c r="B123" t="str">
        <x:v>verification:tndc-056:03</x:v>
      </x:c>
      <x:c r="C123" t="str">
        <x:v>Saragon Nashville</x:v>
      </x:c>
      <x:c r="D123"/>
      <x:c r="E123" t="str">
        <x:v>Saragon</x:v>
      </x:c>
      <x:c r="F123"/>
      <x:c r="G123" t="str">
        <x:v>338 Woodycrest Ave</x:v>
      </x:c>
      <x:c r="H123"/>
      <x:c r="I123" t="str">
        <x:v>Nashville</x:v>
      </x:c>
      <x:c r="J123" t="str">
        <x:v>Davidson</x:v>
      </x:c>
      <x:c r="K123" t="str">
        <x:v>TN</x:v>
      </x:c>
      <x:c r="L123" t="str">
        <x:v>37210</x:v>
      </x:c>
      <x:c r="M123"/>
      <x:c r="N123"/>
      <x:c r="O123" t="str">
        <x:v>address_or_site</x:v>
      </x:c>
      <x:c r="P123" t="str">
        <x:v>high</x:v>
      </x:c>
      <x:c r="Q123" t="str">
        <x:v>Public-source verification; unknown coordinates were not inferred.</x:v>
      </x:c>
      <x:c r="R123" t="str">
        <x:v>operational</x:v>
      </x:c>
      <x:c r="S123" t="str">
        <x:v>operational</x:v>
      </x:c>
      <x:c r="T123" t="str">
        <x:v>data_center</x:v>
      </x:c>
      <x:c r="U123"/>
      <x:c r="V123" t="n">
        <x:v>2.5</x:v>
      </x:c>
      <x:c r="W123"/>
      <x:c r="X123"/>
      <x:c r="Y123" t="n">
        <x:v>27502</x:v>
      </x:c>
      <x:c r="Z123"/>
      <x:c r="AA123"/>
      <x:c r="AB123"/>
      <x:c r="AC123"/>
      <x:c r="AD123"/>
      <x:c r="AE123"/>
      <x:c r="AF123"/>
      <x:c r="AG123"/>
      <x:c r="AH123"/>
      <x:c r="AI123" t="str">
        <x:v>2026-09-03</x:v>
      </x:c>
      <x:c r="AJ123" s="85" t="str">
        <x:v>https://www.newschannel5.com/news/how-big-are-middle-tennessees-data-centers-a-look-at-facilities-already-operating</x:v>
      </x:c>
      <x:c r="AK123" s="85" t="str">
        <x:v>https://www.newschannel5.com/news/how-big-are-middle-tennessees-data-centers-a-look-at-facilities-already-operating</x:v>
      </x:c>
      <x:c r="AL123" s="85" t="str">
        <x:v>https://www.newschannel5.com/news/how-big-are-middle-tennessees-data-centers-a-look-at-facilities-already-operating</x:v>
      </x:c>
      <x:c r="AM123" s="85" t="str">
        <x:v>Saragon announced the Nashville launch at the former Cogent facility; legacy operator is retained.</x:v>
      </x:c>
      <x:c r="AN123" t="str">
        <x:v>core_data_center</x:v>
      </x:c>
      <x:c r="AO123" s="76" t="b">
        <x:v>1</x:v>
      </x:c>
      <x:c r="AP123" t="str">
        <x:v>Saragon</x:v>
      </x:c>
      <x:c r="AQ123" t="str">
        <x:v>saragon nashville</x:v>
      </x:c>
      <x:c r="AR123" t="str">
        <x:v>338 woodycrest ave</x:v>
      </x:c>
    </x:row>
    <x:row r="124">
      <x:c r="A124" t="str">
        <x:v>worldspice.net</x:v>
      </x:c>
      <x:c r="B124" t="str">
        <x:v>verification:tndc-057:01</x:v>
      </x:c>
      <x:c r="C124" t="str">
        <x:v>WorldSpice Data Center</x:v>
      </x:c>
      <x:c r="D124"/>
      <x:c r="E124" t="str">
        <x:v>WorldSpice Technologies</x:v>
      </x:c>
      <x:c r="F124"/>
      <x:c r="G124" t="str">
        <x:v>5050 Poplar Ave, Suite 170</x:v>
      </x:c>
      <x:c r="H124"/>
      <x:c r="I124" t="str">
        <x:v>Memphis</x:v>
      </x:c>
      <x:c r="J124" t="str">
        <x:v>Shelby</x:v>
      </x:c>
      <x:c r="K124" t="str">
        <x:v>TN</x:v>
      </x:c>
      <x:c r="L124" t="str">
        <x:v>38157</x:v>
      </x:c>
      <x:c r="M124" t="n">
        <x:v>35.1132403</x:v>
      </x:c>
      <x:c r="N124" t="n">
        <x:v>-89.8928537</x:v>
      </x:c>
      <x:c r="O124" t="str">
        <x:v>address_or_site</x:v>
      </x:c>
      <x:c r="P124" t="str">
        <x:v>high</x:v>
      </x:c>
      <x:c r="Q124" t="str">
        <x:v>Public-source verification; unknown coordinates were not inferred.</x:v>
      </x:c>
      <x:c r="R124" t="str">
        <x:v>operational</x:v>
      </x:c>
      <x:c r="S124" t="str">
        <x:v>operational</x:v>
      </x:c>
      <x:c r="T124" t="str">
        <x:v>data_center</x:v>
      </x:c>
      <x:c r="U124"/>
      <x:c r="V124"/>
      <x:c r="W124"/>
      <x:c r="X124"/>
      <x:c r="Y124"/>
      <x:c r="Z124"/>
      <x:c r="AA124"/>
      <x:c r="AB124"/>
      <x:c r="AC124"/>
      <x:c r="AD124"/>
      <x:c r="AE124"/>
      <x:c r="AF124"/>
      <x:c r="AG124"/>
      <x:c r="AH124"/>
      <x:c r="AI124" t="str">
        <x:v>2026-09-03</x:v>
      </x:c>
      <x:c r="AJ124" s="85" t="str">
        <x:v>https://www.worldspice.net/contact-memphis-isp.html</x:v>
      </x:c>
      <x:c r="AK124" s="85" t="str">
        <x:v>https://www.worldspice.net/contact-memphis-isp.html</x:v>
      </x:c>
      <x:c r="AL124" s="85" t="str">
        <x:v>https://www.worldspice.net/contact-memphis-isp.html</x:v>
      </x:c>
      <x:c r="AM124" s="85" t="str">
        <x:v>Operator contact information plus state and industry records identify the Memphis facility.</x:v>
      </x:c>
      <x:c r="AN124" t="str">
        <x:v>core_data_center</x:v>
      </x:c>
      <x:c r="AO124" s="76" t="b">
        <x:v>1</x:v>
      </x:c>
      <x:c r="AP124" t="str">
        <x:v>WorldSpice Technologies</x:v>
      </x:c>
      <x:c r="AQ124" t="str">
        <x:v>worldspice data center</x:v>
      </x:c>
      <x:c r="AR124" t="str">
        <x:v>5050 poplar ave, suite 170</x:v>
      </x:c>
    </x:row>
    <x:row r="125">
      <x:c r="A125" t="str">
        <x:v>datacentermap.com</x:v>
      </x:c>
      <x:c r="B125" t="str">
        <x:v>verification:tndc-057:02</x:v>
      </x:c>
      <x:c r="C125" t="str">
        <x:v>WorldSpice Data Center</x:v>
      </x:c>
      <x:c r="D125"/>
      <x:c r="E125" t="str">
        <x:v>WorldSpice Technologies</x:v>
      </x:c>
      <x:c r="F125"/>
      <x:c r="G125" t="str">
        <x:v>5050 Poplar Ave, Suite 170</x:v>
      </x:c>
      <x:c r="H125"/>
      <x:c r="I125" t="str">
        <x:v>Memphis</x:v>
      </x:c>
      <x:c r="J125" t="str">
        <x:v>Shelby</x:v>
      </x:c>
      <x:c r="K125" t="str">
        <x:v>TN</x:v>
      </x:c>
      <x:c r="L125" t="str">
        <x:v>38157</x:v>
      </x:c>
      <x:c r="M125" t="n">
        <x:v>35.1132403</x:v>
      </x:c>
      <x:c r="N125" t="n">
        <x:v>-89.8928537</x:v>
      </x:c>
      <x:c r="O125" t="str">
        <x:v>address_or_site</x:v>
      </x:c>
      <x:c r="P125" t="str">
        <x:v>high</x:v>
      </x:c>
      <x:c r="Q125" t="str">
        <x:v>Public-source verification; unknown coordinates were not inferred.</x:v>
      </x:c>
      <x:c r="R125" t="str">
        <x:v>operational</x:v>
      </x:c>
      <x:c r="S125" t="str">
        <x:v>operational</x:v>
      </x:c>
      <x:c r="T125" t="str">
        <x:v>data_center</x:v>
      </x:c>
      <x:c r="U125"/>
      <x:c r="V125"/>
      <x:c r="W125"/>
      <x:c r="X125"/>
      <x:c r="Y125"/>
      <x:c r="Z125"/>
      <x:c r="AA125"/>
      <x:c r="AB125"/>
      <x:c r="AC125"/>
      <x:c r="AD125"/>
      <x:c r="AE125"/>
      <x:c r="AF125"/>
      <x:c r="AG125"/>
      <x:c r="AH125"/>
      <x:c r="AI125" t="str">
        <x:v>2026-09-03</x:v>
      </x:c>
      <x:c r="AJ125" s="85" t="str">
        <x:v>https://www.datacentermap.com/usa/tennessee/memphis/</x:v>
      </x:c>
      <x:c r="AK125" s="85" t="str">
        <x:v>https://www.datacentermap.com/usa/tennessee/memphis/</x:v>
      </x:c>
      <x:c r="AL125" s="85" t="str">
        <x:v>https://www.datacentermap.com/usa/tennessee/memphis/</x:v>
      </x:c>
      <x:c r="AM125" s="85" t="str">
        <x:v>Operator contact information plus state and industry records identify the Memphis facility.</x:v>
      </x:c>
      <x:c r="AN125" t="str">
        <x:v>core_data_center</x:v>
      </x:c>
      <x:c r="AO125" s="76" t="b">
        <x:v>1</x:v>
      </x:c>
      <x:c r="AP125" t="str">
        <x:v>WorldSpice Technologies</x:v>
      </x:c>
      <x:c r="AQ125" t="str">
        <x:v>worldspice data center</x:v>
      </x:c>
      <x:c r="AR125" t="str">
        <x:v>5050 poplar ave, suite 170</x:v>
      </x:c>
    </x:row>
    <x:row r="126">
      <x:c r="A126" t="str">
        <x:v>tnecd.com</x:v>
      </x:c>
      <x:c r="B126" t="str">
        <x:v>verification:tndc-057:03</x:v>
      </x:c>
      <x:c r="C126" t="str">
        <x:v>WorldSpice Data Center</x:v>
      </x:c>
      <x:c r="D126"/>
      <x:c r="E126" t="str">
        <x:v>WorldSpice Technologies</x:v>
      </x:c>
      <x:c r="F126"/>
      <x:c r="G126" t="str">
        <x:v>5050 Poplar Ave, Suite 170</x:v>
      </x:c>
      <x:c r="H126"/>
      <x:c r="I126" t="str">
        <x:v>Memphis</x:v>
      </x:c>
      <x:c r="J126" t="str">
        <x:v>Shelby</x:v>
      </x:c>
      <x:c r="K126" t="str">
        <x:v>TN</x:v>
      </x:c>
      <x:c r="L126" t="str">
        <x:v>38157</x:v>
      </x:c>
      <x:c r="M126" t="n">
        <x:v>35.1132403</x:v>
      </x:c>
      <x:c r="N126" t="n">
        <x:v>-89.8928537</x:v>
      </x:c>
      <x:c r="O126" t="str">
        <x:v>address_or_site</x:v>
      </x:c>
      <x:c r="P126" t="str">
        <x:v>high</x:v>
      </x:c>
      <x:c r="Q126" t="str">
        <x:v>Public-source verification; unknown coordinates were not inferred.</x:v>
      </x:c>
      <x:c r="R126" t="str">
        <x:v>operational</x:v>
      </x:c>
      <x:c r="S126" t="str">
        <x:v>operational</x:v>
      </x:c>
      <x:c r="T126" t="str">
        <x:v>data_center</x:v>
      </x:c>
      <x:c r="U126"/>
      <x:c r="V126"/>
      <x:c r="W126"/>
      <x:c r="X126"/>
      <x:c r="Y126"/>
      <x:c r="Z126"/>
      <x:c r="AA126"/>
      <x:c r="AB126"/>
      <x:c r="AC126"/>
      <x:c r="AD126"/>
      <x:c r="AE126"/>
      <x:c r="AF126"/>
      <x:c r="AG126"/>
      <x:c r="AH126"/>
      <x:c r="AI126" t="str">
        <x:v>2026-09-03</x:v>
      </x:c>
      <x:c r="AJ126" s="85" t="str">
        <x:v>https://tnecd.com/wp-content/uploads/2018/10/business-services.pdf</x:v>
      </x:c>
      <x:c r="AK126" s="85" t="str">
        <x:v>https://tnecd.com/wp-content/uploads/2018/10/business-services.pdf</x:v>
      </x:c>
      <x:c r="AL126" s="85" t="str">
        <x:v>https://tnecd.com/wp-content/uploads/2018/10/business-services.pdf</x:v>
      </x:c>
      <x:c r="AM126" s="85" t="str">
        <x:v>Operator contact information plus state and industry records identify the Memphis facility.</x:v>
      </x:c>
      <x:c r="AN126" t="str">
        <x:v>core_data_center</x:v>
      </x:c>
      <x:c r="AO126" s="76" t="b">
        <x:v>1</x:v>
      </x:c>
      <x:c r="AP126" t="str">
        <x:v>WorldSpice Technologies</x:v>
      </x:c>
      <x:c r="AQ126" t="str">
        <x:v>worldspice data center</x:v>
      </x:c>
      <x:c r="AR126" t="str">
        <x:v>5050 poplar ave, suite 170</x:v>
      </x:c>
    </x:row>
    <x:row r="127">
      <x:c r="A127" t="str">
        <x:v>memphistn.gov</x:v>
      </x:c>
      <x:c r="B127" t="str">
        <x:v>verification:tndc-057:04</x:v>
      </x:c>
      <x:c r="C127" t="str">
        <x:v>WorldSpice Data Center</x:v>
      </x:c>
      <x:c r="D127"/>
      <x:c r="E127" t="str">
        <x:v>WorldSpice Technologies</x:v>
      </x:c>
      <x:c r="F127"/>
      <x:c r="G127" t="str">
        <x:v>5050 Poplar Ave, Suite 170</x:v>
      </x:c>
      <x:c r="H127"/>
      <x:c r="I127" t="str">
        <x:v>Memphis</x:v>
      </x:c>
      <x:c r="J127" t="str">
        <x:v>Shelby</x:v>
      </x:c>
      <x:c r="K127" t="str">
        <x:v>TN</x:v>
      </x:c>
      <x:c r="L127" t="str">
        <x:v>38157</x:v>
      </x:c>
      <x:c r="M127" t="n">
        <x:v>35.1132403</x:v>
      </x:c>
      <x:c r="N127" t="n">
        <x:v>-89.8928537</x:v>
      </x:c>
      <x:c r="O127" t="str">
        <x:v>address_or_site</x:v>
      </x:c>
      <x:c r="P127" t="str">
        <x:v>high</x:v>
      </x:c>
      <x:c r="Q127" t="str">
        <x:v>Public-source verification; unknown coordinates were not inferred.</x:v>
      </x:c>
      <x:c r="R127" t="str">
        <x:v>operational</x:v>
      </x:c>
      <x:c r="S127" t="str">
        <x:v>operational</x:v>
      </x:c>
      <x:c r="T127" t="str">
        <x:v>data_center</x:v>
      </x:c>
      <x:c r="U127"/>
      <x:c r="V127"/>
      <x:c r="W127"/>
      <x:c r="X127"/>
      <x:c r="Y127"/>
      <x:c r="Z127"/>
      <x:c r="AA127"/>
      <x:c r="AB127"/>
      <x:c r="AC127"/>
      <x:c r="AD127"/>
      <x:c r="AE127"/>
      <x:c r="AF127"/>
      <x:c r="AG127"/>
      <x:c r="AH127"/>
      <x:c r="AI127" t="str">
        <x:v>2026-09-03</x:v>
      </x:c>
      <x:c r="AJ127" s="85" t="str">
        <x:v>https://memphistn.gov/wp-content/uploads/2025/01/Planning-Zoning-Committee-Documents-10.01.2024_Part1.pdf</x:v>
      </x:c>
      <x:c r="AK127" s="85" t="str">
        <x:v>https://memphistn.gov/wp-content/uploads/2025/01/Planning-Zoning-Committee-Documents-10.01.2024_Part1.pdf</x:v>
      </x:c>
      <x:c r="AL127" s="85" t="str">
        <x:v>https://memphistn.gov/wp-content/uploads/2025/01/Planning-Zoning-Committee-Documents-10.01.2024_Part1.pdf</x:v>
      </x:c>
      <x:c r="AM127" s="85" t="str">
        <x:v>Operator contact information plus state and industry records identify the Memphis facility.</x:v>
      </x:c>
      <x:c r="AN127" t="str">
        <x:v>core_data_center</x:v>
      </x:c>
      <x:c r="AO127" s="76" t="b">
        <x:v>1</x:v>
      </x:c>
      <x:c r="AP127" t="str">
        <x:v>WorldSpice Technologies</x:v>
      </x:c>
      <x:c r="AQ127" t="str">
        <x:v>worldspice data center</x:v>
      </x:c>
      <x:c r="AR127" t="str">
        <x:v>5050 poplar ave, suite 170</x:v>
      </x:c>
    </x:row>
    <x:row r="128">
      <x:c r="A128" t="str">
        <x:v>registry.deploy.report</x:v>
      </x:c>
      <x:c r="B128" t="str">
        <x:v>verification:tndc-058:01</x:v>
      </x:c>
      <x:c r="C128" t="str">
        <x:v>Connect Data Centers Memphis</x:v>
      </x:c>
      <x:c r="D128"/>
      <x:c r="E128" t="str">
        <x:v>Connect Data Centers</x:v>
      </x:c>
      <x:c r="F128"/>
      <x:c r="G128" t="str">
        <x:v>3900 S Mendenhall Rd</x:v>
      </x:c>
      <x:c r="H128"/>
      <x:c r="I128" t="str">
        <x:v>Memphis</x:v>
      </x:c>
      <x:c r="J128" t="str">
        <x:v>Shelby</x:v>
      </x:c>
      <x:c r="K128" t="str">
        <x:v>TN</x:v>
      </x:c>
      <x:c r="L128" t="str">
        <x:v>38115</x:v>
      </x:c>
      <x:c r="M128" t="n">
        <x:v>35.0417724</x:v>
      </x:c>
      <x:c r="N128" t="n">
        <x:v>-89.8845309</x:v>
      </x:c>
      <x:c r="O128" t="str">
        <x:v>address_or_site</x:v>
      </x:c>
      <x:c r="P128" t="str">
        <x:v>high</x:v>
      </x:c>
      <x:c r="Q128" t="str">
        <x:v>Public-source verification; unknown coordinates were not inferred.</x:v>
      </x:c>
      <x:c r="R128" t="str">
        <x:v>operational</x:v>
      </x:c>
      <x:c r="S128" t="str">
        <x:v>operational</x:v>
      </x:c>
      <x:c r="T128" t="str">
        <x:v>data_center</x:v>
      </x:c>
      <x:c r="U128"/>
      <x:c r="V128"/>
      <x:c r="W128"/>
      <x:c r="X128"/>
      <x:c r="Y128" t="n">
        <x:v>99000</x:v>
      </x:c>
      <x:c r="Z128"/>
      <x:c r="AA128"/>
      <x:c r="AB128"/>
      <x:c r="AC128"/>
      <x:c r="AD128"/>
      <x:c r="AE128"/>
      <x:c r="AF128"/>
      <x:c r="AG128"/>
      <x:c r="AH128"/>
      <x:c r="AI128" t="str">
        <x:v>2026-09-03</x:v>
      </x:c>
      <x:c r="AJ128" s="85" t="str">
        <x:v>https://registry.deploy.report/datacenters/facilities/connect-data-centers-memphis-tn</x:v>
      </x:c>
      <x:c r="AK128" s="85" t="str">
        <x:v>https://registry.deploy.report/datacenters/facilities/connect-data-centers-memphis-tn</x:v>
      </x:c>
      <x:c r="AL128" s="85" t="str">
        <x:v>https://registry.deploy.report/datacenters/facilities/connect-data-centers-memphis-tn</x:v>
      </x:c>
      <x:c r="AM128" s="85" t="str">
        <x:v>Multiple current facility registries identify the completed Memphis site; developer Oppidan is retained in operators.</x:v>
      </x:c>
      <x:c r="AN128" t="str">
        <x:v>core_data_center</x:v>
      </x:c>
      <x:c r="AO128" s="76" t="b">
        <x:v>1</x:v>
      </x:c>
      <x:c r="AP128" t="str">
        <x:v>Connect Data Centers</x:v>
      </x:c>
      <x:c r="AQ128" t="str">
        <x:v>connect data centers memphis</x:v>
      </x:c>
      <x:c r="AR128" t="str">
        <x:v>3900 s mendenhall rd</x:v>
      </x:c>
    </x:row>
    <x:row r="129">
      <x:c r="A129" t="str">
        <x:v>baxtel.com</x:v>
      </x:c>
      <x:c r="B129" t="str">
        <x:v>verification:tndc-058:02</x:v>
      </x:c>
      <x:c r="C129" t="str">
        <x:v>Connect Data Centers Memphis</x:v>
      </x:c>
      <x:c r="D129"/>
      <x:c r="E129" t="str">
        <x:v>Connect Data Centers</x:v>
      </x:c>
      <x:c r="F129"/>
      <x:c r="G129" t="str">
        <x:v>3900 S Mendenhall Rd</x:v>
      </x:c>
      <x:c r="H129"/>
      <x:c r="I129" t="str">
        <x:v>Memphis</x:v>
      </x:c>
      <x:c r="J129" t="str">
        <x:v>Shelby</x:v>
      </x:c>
      <x:c r="K129" t="str">
        <x:v>TN</x:v>
      </x:c>
      <x:c r="L129" t="str">
        <x:v>38115</x:v>
      </x:c>
      <x:c r="M129" t="n">
        <x:v>35.0417724</x:v>
      </x:c>
      <x:c r="N129" t="n">
        <x:v>-89.8845309</x:v>
      </x:c>
      <x:c r="O129" t="str">
        <x:v>address_or_site</x:v>
      </x:c>
      <x:c r="P129" t="str">
        <x:v>high</x:v>
      </x:c>
      <x:c r="Q129" t="str">
        <x:v>Public-source verification; unknown coordinates were not inferred.</x:v>
      </x:c>
      <x:c r="R129" t="str">
        <x:v>operational</x:v>
      </x:c>
      <x:c r="S129" t="str">
        <x:v>operational</x:v>
      </x:c>
      <x:c r="T129" t="str">
        <x:v>data_center</x:v>
      </x:c>
      <x:c r="U129"/>
      <x:c r="V129"/>
      <x:c r="W129"/>
      <x:c r="X129"/>
      <x:c r="Y129" t="n">
        <x:v>99000</x:v>
      </x:c>
      <x:c r="Z129"/>
      <x:c r="AA129"/>
      <x:c r="AB129"/>
      <x:c r="AC129"/>
      <x:c r="AD129"/>
      <x:c r="AE129"/>
      <x:c r="AF129"/>
      <x:c r="AG129"/>
      <x:c r="AH129"/>
      <x:c r="AI129" t="str">
        <x:v>2026-09-03</x:v>
      </x:c>
      <x:c r="AJ129" s="85" t="str">
        <x:v>https://baxtel.com/data-center/connect-data-centers-memphis-tn</x:v>
      </x:c>
      <x:c r="AK129" s="85" t="str">
        <x:v>https://baxtel.com/data-center/connect-data-centers-memphis-tn</x:v>
      </x:c>
      <x:c r="AL129" s="85" t="str">
        <x:v>https://baxtel.com/data-center/connect-data-centers-memphis-tn</x:v>
      </x:c>
      <x:c r="AM129" s="85" t="str">
        <x:v>Multiple current facility registries identify the completed Memphis site; developer Oppidan is retained in operators.</x:v>
      </x:c>
      <x:c r="AN129" t="str">
        <x:v>core_data_center</x:v>
      </x:c>
      <x:c r="AO129" s="76" t="b">
        <x:v>1</x:v>
      </x:c>
      <x:c r="AP129" t="str">
        <x:v>Connect Data Centers</x:v>
      </x:c>
      <x:c r="AQ129" t="str">
        <x:v>connect data centers memphis</x:v>
      </x:c>
      <x:c r="AR129" t="str">
        <x:v>3900 s mendenhall rd</x:v>
      </x:c>
    </x:row>
    <x:row r="130">
      <x:c r="A130" t="str">
        <x:v>datacentermap.com</x:v>
      </x:c>
      <x:c r="B130" t="str">
        <x:v>verification:tndc-058:03</x:v>
      </x:c>
      <x:c r="C130" t="str">
        <x:v>Connect Data Centers Memphis</x:v>
      </x:c>
      <x:c r="D130"/>
      <x:c r="E130" t="str">
        <x:v>Connect Data Centers</x:v>
      </x:c>
      <x:c r="F130"/>
      <x:c r="G130" t="str">
        <x:v>3900 S Mendenhall Rd</x:v>
      </x:c>
      <x:c r="H130"/>
      <x:c r="I130" t="str">
        <x:v>Memphis</x:v>
      </x:c>
      <x:c r="J130" t="str">
        <x:v>Shelby</x:v>
      </x:c>
      <x:c r="K130" t="str">
        <x:v>TN</x:v>
      </x:c>
      <x:c r="L130" t="str">
        <x:v>38115</x:v>
      </x:c>
      <x:c r="M130" t="n">
        <x:v>35.0417724</x:v>
      </x:c>
      <x:c r="N130" t="n">
        <x:v>-89.8845309</x:v>
      </x:c>
      <x:c r="O130" t="str">
        <x:v>address_or_site</x:v>
      </x:c>
      <x:c r="P130" t="str">
        <x:v>high</x:v>
      </x:c>
      <x:c r="Q130" t="str">
        <x:v>Public-source verification; unknown coordinates were not inferred.</x:v>
      </x:c>
      <x:c r="R130" t="str">
        <x:v>operational</x:v>
      </x:c>
      <x:c r="S130" t="str">
        <x:v>operational</x:v>
      </x:c>
      <x:c r="T130" t="str">
        <x:v>data_center</x:v>
      </x:c>
      <x:c r="U130"/>
      <x:c r="V130"/>
      <x:c r="W130"/>
      <x:c r="X130"/>
      <x:c r="Y130" t="n">
        <x:v>99000</x:v>
      </x:c>
      <x:c r="Z130"/>
      <x:c r="AA130"/>
      <x:c r="AB130"/>
      <x:c r="AC130"/>
      <x:c r="AD130"/>
      <x:c r="AE130"/>
      <x:c r="AF130"/>
      <x:c r="AG130"/>
      <x:c r="AH130"/>
      <x:c r="AI130" t="str">
        <x:v>2026-09-03</x:v>
      </x:c>
      <x:c r="AJ130" s="85" t="str">
        <x:v>https://www.datacentermap.com/usa/tennessee/memphis/connect-memphis/</x:v>
      </x:c>
      <x:c r="AK130" s="85" t="str">
        <x:v>https://www.datacentermap.com/usa/tennessee/memphis/connect-memphis/</x:v>
      </x:c>
      <x:c r="AL130" s="85" t="str">
        <x:v>https://www.datacentermap.com/usa/tennessee/memphis/connect-memphis/</x:v>
      </x:c>
      <x:c r="AM130" s="85" t="str">
        <x:v>Multiple current facility registries identify the completed Memphis site; developer Oppidan is retained in operators.</x:v>
      </x:c>
      <x:c r="AN130" t="str">
        <x:v>core_data_center</x:v>
      </x:c>
      <x:c r="AO130" s="76" t="b">
        <x:v>1</x:v>
      </x:c>
      <x:c r="AP130" t="str">
        <x:v>Connect Data Centers</x:v>
      </x:c>
      <x:c r="AQ130" t="str">
        <x:v>connect data centers memphis</x:v>
      </x:c>
      <x:c r="AR130" t="str">
        <x:v>3900 s mendenhall rd</x:v>
      </x:c>
    </x:row>
    <x:row r="131">
      <x:c r="A131" t="str">
        <x:v>datacenterdynamics.com</x:v>
      </x:c>
      <x:c r="B131" t="str">
        <x:v>verification:tndc-058:04</x:v>
      </x:c>
      <x:c r="C131" t="str">
        <x:v>Connect Data Centers Memphis</x:v>
      </x:c>
      <x:c r="D131"/>
      <x:c r="E131" t="str">
        <x:v>Connect Data Centers</x:v>
      </x:c>
      <x:c r="F131"/>
      <x:c r="G131" t="str">
        <x:v>3900 S Mendenhall Rd</x:v>
      </x:c>
      <x:c r="H131"/>
      <x:c r="I131" t="str">
        <x:v>Memphis</x:v>
      </x:c>
      <x:c r="J131" t="str">
        <x:v>Shelby</x:v>
      </x:c>
      <x:c r="K131" t="str">
        <x:v>TN</x:v>
      </x:c>
      <x:c r="L131" t="str">
        <x:v>38115</x:v>
      </x:c>
      <x:c r="M131" t="n">
        <x:v>35.0417724</x:v>
      </x:c>
      <x:c r="N131" t="n">
        <x:v>-89.8845309</x:v>
      </x:c>
      <x:c r="O131" t="str">
        <x:v>address_or_site</x:v>
      </x:c>
      <x:c r="P131" t="str">
        <x:v>high</x:v>
      </x:c>
      <x:c r="Q131" t="str">
        <x:v>Public-source verification; unknown coordinates were not inferred.</x:v>
      </x:c>
      <x:c r="R131" t="str">
        <x:v>operational</x:v>
      </x:c>
      <x:c r="S131" t="str">
        <x:v>operational</x:v>
      </x:c>
      <x:c r="T131" t="str">
        <x:v>data_center</x:v>
      </x:c>
      <x:c r="U131"/>
      <x:c r="V131"/>
      <x:c r="W131"/>
      <x:c r="X131"/>
      <x:c r="Y131" t="n">
        <x:v>99000</x:v>
      </x:c>
      <x:c r="Z131"/>
      <x:c r="AA131"/>
      <x:c r="AB131"/>
      <x:c r="AC131"/>
      <x:c r="AD131"/>
      <x:c r="AE131"/>
      <x:c r="AF131"/>
      <x:c r="AG131"/>
      <x:c r="AH131"/>
      <x:c r="AI131" t="str">
        <x:v>2026-09-03</x:v>
      </x:c>
      <x:c r="AJ131" s="85" t="str">
        <x:v>https://www.datacenterdynamics.com/en/news/oppidan-files-for-99000-square-foot-data-center-in-memphis-tennessee/</x:v>
      </x:c>
      <x:c r="AK131" s="85" t="str">
        <x:v>https://www.datacenterdynamics.com/en/news/oppidan-files-for-99000-square-foot-data-center-in-memphis-tennessee/</x:v>
      </x:c>
      <x:c r="AL131" s="85" t="str">
        <x:v>https://www.datacenterdynamics.com/en/news/oppidan-files-for-99000-square-foot-data-center-in-memphis-tennessee/</x:v>
      </x:c>
      <x:c r="AM131" s="85" t="str">
        <x:v>Multiple current facility registries identify the completed Memphis site; developer Oppidan is retained in operators.</x:v>
      </x:c>
      <x:c r="AN131" t="str">
        <x:v>core_data_center</x:v>
      </x:c>
      <x:c r="AO131" s="76" t="b">
        <x:v>1</x:v>
      </x:c>
      <x:c r="AP131" t="str">
        <x:v>Connect Data Centers</x:v>
      </x:c>
      <x:c r="AQ131" t="str">
        <x:v>connect data centers memphis</x:v>
      </x:c>
      <x:c r="AR131" t="str">
        <x:v>3900 s mendenhall rd</x:v>
      </x:c>
    </x:row>
    <x:row r="132">
      <x:c r="A132" t="str">
        <x:v>5c.ai</x:v>
      </x:c>
      <x:c r="B132" t="str">
        <x:v>verification:tndc-059:01</x:v>
      </x:c>
      <x:c r="C132" t="str">
        <x:v>5C MEM01</x:v>
      </x:c>
      <x:c r="D132"/>
      <x:c r="E132" t="str">
        <x:v>5C</x:v>
      </x:c>
      <x:c r="F132"/>
      <x:c r="G132" t="str">
        <x:v>4300 Getwell Rd</x:v>
      </x:c>
      <x:c r="H132"/>
      <x:c r="I132" t="str">
        <x:v>Memphis</x:v>
      </x:c>
      <x:c r="J132" t="str">
        <x:v>Shelby</x:v>
      </x:c>
      <x:c r="K132" t="str">
        <x:v>TN</x:v>
      </x:c>
      <x:c r="L132" t="str">
        <x:v>38118</x:v>
      </x:c>
      <x:c r="M132"/>
      <x:c r="N132"/>
      <x:c r="O132" t="str">
        <x:v>address_or_site</x:v>
      </x:c>
      <x:c r="P132" t="str">
        <x:v>medium</x:v>
      </x:c>
      <x:c r="Q132" t="str">
        <x:v>Public-source verification; unknown coordinates were not inferred.</x:v>
      </x:c>
      <x:c r="R132" t="str">
        <x:v>under_construction</x:v>
      </x:c>
      <x:c r="S132" t="str">
        <x:v>under_construction</x:v>
      </x:c>
      <x:c r="T132" t="str">
        <x:v>data_center</x:v>
      </x:c>
      <x:c r="U132"/>
      <x:c r="V132" t="n">
        <x:v>20</x:v>
      </x:c>
      <x:c r="W132"/>
      <x:c r="X132"/>
      <x:c r="Y132"/>
      <x:c r="Z132" t="n">
        <x:v>57.641</x:v>
      </x:c>
      <x:c r="AA132"/>
      <x:c r="AB132"/>
      <x:c r="AC132"/>
      <x:c r="AD132"/>
      <x:c r="AE132"/>
      <x:c r="AF132"/>
      <x:c r="AG132"/>
      <x:c r="AH132"/>
      <x:c r="AI132" t="str">
        <x:v>2026-09-03</x:v>
      </x:c>
      <x:c r="AJ132" s="85" t="str">
        <x:v>https://5c.ai/datacenters</x:v>
      </x:c>
      <x:c r="AK132" s="85" t="str">
        <x:v>https://5c.ai/datacenters</x:v>
      </x:c>
      <x:c r="AL132" s="85" t="str">
        <x:v>https://5c.ai/datacenters</x:v>
      </x:c>
      <x:c r="AM132" s="85" t="str">
        <x:v>5C reports 20 MW at MEM01 with further expansion planned. County/public-health records use 4300 Getwell Rd; some industry directories use 4280, so the discrepancy remains flagged.</x:v>
      </x:c>
      <x:c r="AN132" t="str">
        <x:v>core_data_center</x:v>
      </x:c>
      <x:c r="AO132" s="76" t="b">
        <x:v>1</x:v>
      </x:c>
      <x:c r="AP132" t="str">
        <x:v>5C</x:v>
      </x:c>
      <x:c r="AQ132" t="str">
        <x:v>5c mem01</x:v>
      </x:c>
      <x:c r="AR132" t="str">
        <x:v>4300 getwell rd</x:v>
      </x:c>
    </x:row>
    <x:row r="133">
      <x:c r="A133" t="str">
        <x:v>5c.ai</x:v>
      </x:c>
      <x:c r="B133" t="str">
        <x:v>verification:tndc-059:02</x:v>
      </x:c>
      <x:c r="C133" t="str">
        <x:v>5C MEM01</x:v>
      </x:c>
      <x:c r="D133"/>
      <x:c r="E133" t="str">
        <x:v>5C</x:v>
      </x:c>
      <x:c r="F133"/>
      <x:c r="G133" t="str">
        <x:v>4300 Getwell Rd</x:v>
      </x:c>
      <x:c r="H133"/>
      <x:c r="I133" t="str">
        <x:v>Memphis</x:v>
      </x:c>
      <x:c r="J133" t="str">
        <x:v>Shelby</x:v>
      </x:c>
      <x:c r="K133" t="str">
        <x:v>TN</x:v>
      </x:c>
      <x:c r="L133" t="str">
        <x:v>38118</x:v>
      </x:c>
      <x:c r="M133"/>
      <x:c r="N133"/>
      <x:c r="O133" t="str">
        <x:v>address_or_site</x:v>
      </x:c>
      <x:c r="P133" t="str">
        <x:v>medium</x:v>
      </x:c>
      <x:c r="Q133" t="str">
        <x:v>Public-source verification; unknown coordinates were not inferred.</x:v>
      </x:c>
      <x:c r="R133" t="str">
        <x:v>under_construction</x:v>
      </x:c>
      <x:c r="S133" t="str">
        <x:v>under_construction</x:v>
      </x:c>
      <x:c r="T133" t="str">
        <x:v>data_center</x:v>
      </x:c>
      <x:c r="U133"/>
      <x:c r="V133" t="n">
        <x:v>20</x:v>
      </x:c>
      <x:c r="W133"/>
      <x:c r="X133"/>
      <x:c r="Y133"/>
      <x:c r="Z133" t="n">
        <x:v>57.641</x:v>
      </x:c>
      <x:c r="AA133"/>
      <x:c r="AB133"/>
      <x:c r="AC133"/>
      <x:c r="AD133"/>
      <x:c r="AE133"/>
      <x:c r="AF133"/>
      <x:c r="AG133"/>
      <x:c r="AH133"/>
      <x:c r="AI133" t="str">
        <x:v>2026-09-03</x:v>
      </x:c>
      <x:c r="AJ133" s="85" t="str">
        <x:v>https://5c.ai/</x:v>
      </x:c>
      <x:c r="AK133" s="85" t="str">
        <x:v>https://5c.ai/</x:v>
      </x:c>
      <x:c r="AL133" s="85" t="str">
        <x:v>https://5c.ai/</x:v>
      </x:c>
      <x:c r="AM133" s="85" t="str">
        <x:v>5C reports 20 MW at MEM01 with further expansion planned. County/public-health records use 4300 Getwell Rd; some industry directories use 4280, so the discrepancy remains flagged.</x:v>
      </x:c>
      <x:c r="AN133" t="str">
        <x:v>core_data_center</x:v>
      </x:c>
      <x:c r="AO133" s="76" t="b">
        <x:v>1</x:v>
      </x:c>
      <x:c r="AP133" t="str">
        <x:v>5C</x:v>
      </x:c>
      <x:c r="AQ133" t="str">
        <x:v>5c mem01</x:v>
      </x:c>
      <x:c r="AR133" t="str">
        <x:v>4300 getwell rd</x:v>
      </x:c>
    </x:row>
    <x:row r="134">
      <x:c r="A134" t="str">
        <x:v>5c.ai</x:v>
      </x:c>
      <x:c r="B134" t="str">
        <x:v>verification:tndc-059:03</x:v>
      </x:c>
      <x:c r="C134" t="str">
        <x:v>5C MEM01</x:v>
      </x:c>
      <x:c r="D134"/>
      <x:c r="E134" t="str">
        <x:v>5C</x:v>
      </x:c>
      <x:c r="F134"/>
      <x:c r="G134" t="str">
        <x:v>4300 Getwell Rd</x:v>
      </x:c>
      <x:c r="H134"/>
      <x:c r="I134" t="str">
        <x:v>Memphis</x:v>
      </x:c>
      <x:c r="J134" t="str">
        <x:v>Shelby</x:v>
      </x:c>
      <x:c r="K134" t="str">
        <x:v>TN</x:v>
      </x:c>
      <x:c r="L134" t="str">
        <x:v>38118</x:v>
      </x:c>
      <x:c r="M134"/>
      <x:c r="N134"/>
      <x:c r="O134" t="str">
        <x:v>address_or_site</x:v>
      </x:c>
      <x:c r="P134" t="str">
        <x:v>medium</x:v>
      </x:c>
      <x:c r="Q134" t="str">
        <x:v>Public-source verification; unknown coordinates were not inferred.</x:v>
      </x:c>
      <x:c r="R134" t="str">
        <x:v>under_construction</x:v>
      </x:c>
      <x:c r="S134" t="str">
        <x:v>under_construction</x:v>
      </x:c>
      <x:c r="T134" t="str">
        <x:v>data_center</x:v>
      </x:c>
      <x:c r="U134"/>
      <x:c r="V134" t="n">
        <x:v>20</x:v>
      </x:c>
      <x:c r="W134"/>
      <x:c r="X134"/>
      <x:c r="Y134"/>
      <x:c r="Z134" t="n">
        <x:v>57.641</x:v>
      </x:c>
      <x:c r="AA134"/>
      <x:c r="AB134"/>
      <x:c r="AC134"/>
      <x:c r="AD134"/>
      <x:c r="AE134"/>
      <x:c r="AF134"/>
      <x:c r="AG134"/>
      <x:c r="AH134"/>
      <x:c r="AI134" t="str">
        <x:v>2026-09-03</x:v>
      </x:c>
      <x:c r="AJ134" s="85" t="str">
        <x:v>https://5c.ai/news/5c-secures-more-than-usd-1-4-billion-to-power-north-americas-ai-infrastructure</x:v>
      </x:c>
      <x:c r="AK134" s="85" t="str">
        <x:v>https://5c.ai/news/5c-secures-more-than-usd-1-4-billion-to-power-north-americas-ai-infrastructure</x:v>
      </x:c>
      <x:c r="AL134" s="85" t="str">
        <x:v>https://5c.ai/news/5c-secures-more-than-usd-1-4-billion-to-power-north-americas-ai-infrastructure</x:v>
      </x:c>
      <x:c r="AM134" s="85" t="str">
        <x:v>5C reports 20 MW at MEM01 with further expansion planned. County/public-health records use 4300 Getwell Rd; some industry directories use 4280, so the discrepancy remains flagged.</x:v>
      </x:c>
      <x:c r="AN134" t="str">
        <x:v>core_data_center</x:v>
      </x:c>
      <x:c r="AO134" s="76" t="b">
        <x:v>1</x:v>
      </x:c>
      <x:c r="AP134" t="str">
        <x:v>5C</x:v>
      </x:c>
      <x:c r="AQ134" t="str">
        <x:v>5c mem01</x:v>
      </x:c>
      <x:c r="AR134" t="str">
        <x:v>4300 getwell rd</x:v>
      </x:c>
    </x:row>
    <x:row r="135">
      <x:c r="A135" t="str">
        <x:v>assessormelvinburgess.com</x:v>
      </x:c>
      <x:c r="B135" t="str">
        <x:v>verification:tndc-059:04</x:v>
      </x:c>
      <x:c r="C135" t="str">
        <x:v>5C MEM01</x:v>
      </x:c>
      <x:c r="D135"/>
      <x:c r="E135" t="str">
        <x:v>5C</x:v>
      </x:c>
      <x:c r="F135"/>
      <x:c r="G135" t="str">
        <x:v>4300 Getwell Rd</x:v>
      </x:c>
      <x:c r="H135"/>
      <x:c r="I135" t="str">
        <x:v>Memphis</x:v>
      </x:c>
      <x:c r="J135" t="str">
        <x:v>Shelby</x:v>
      </x:c>
      <x:c r="K135" t="str">
        <x:v>TN</x:v>
      </x:c>
      <x:c r="L135" t="str">
        <x:v>38118</x:v>
      </x:c>
      <x:c r="M135"/>
      <x:c r="N135"/>
      <x:c r="O135" t="str">
        <x:v>address_or_site</x:v>
      </x:c>
      <x:c r="P135" t="str">
        <x:v>medium</x:v>
      </x:c>
      <x:c r="Q135" t="str">
        <x:v>Public-source verification; unknown coordinates were not inferred.</x:v>
      </x:c>
      <x:c r="R135" t="str">
        <x:v>under_construction</x:v>
      </x:c>
      <x:c r="S135" t="str">
        <x:v>under_construction</x:v>
      </x:c>
      <x:c r="T135" t="str">
        <x:v>data_center</x:v>
      </x:c>
      <x:c r="U135"/>
      <x:c r="V135" t="n">
        <x:v>20</x:v>
      </x:c>
      <x:c r="W135"/>
      <x:c r="X135"/>
      <x:c r="Y135"/>
      <x:c r="Z135" t="n">
        <x:v>57.641</x:v>
      </x:c>
      <x:c r="AA135"/>
      <x:c r="AB135"/>
      <x:c r="AC135"/>
      <x:c r="AD135"/>
      <x:c r="AE135"/>
      <x:c r="AF135"/>
      <x:c r="AG135"/>
      <x:c r="AH135"/>
      <x:c r="AI135" t="str">
        <x:v>2026-09-03</x:v>
      </x:c>
      <x:c r="AJ135" s="85" t="str">
        <x:v>https://www.assessormelvinburgess.com/propertyDetails?IR=true&amp;parcelid=073101++00119</x:v>
      </x:c>
      <x:c r="AK135" s="85" t="str">
        <x:v>https://www.assessormelvinburgess.com/propertyDetails?IR=true&amp;parcelid=073101++00119</x:v>
      </x:c>
      <x:c r="AL135" s="85" t="str">
        <x:v>https://www.assessormelvinburgess.com/propertyDetails?IR=true&amp;parcelid=073101++00119</x:v>
      </x:c>
      <x:c r="AM135" s="85" t="str">
        <x:v>5C reports 20 MW at MEM01 with further expansion planned. County/public-health records use 4300 Getwell Rd; some industry directories use 4280, so the discrepancy remains flagged.</x:v>
      </x:c>
      <x:c r="AN135" t="str">
        <x:v>core_data_center</x:v>
      </x:c>
      <x:c r="AO135" s="76" t="b">
        <x:v>1</x:v>
      </x:c>
      <x:c r="AP135" t="str">
        <x:v>5C</x:v>
      </x:c>
      <x:c r="AQ135" t="str">
        <x:v>5c mem01</x:v>
      </x:c>
      <x:c r="AR135" t="str">
        <x:v>4300 getwell rd</x:v>
      </x:c>
    </x:row>
    <x:row r="136">
      <x:c r="A136" t="str">
        <x:v>shelbytnhealth.com</x:v>
      </x:c>
      <x:c r="B136" t="str">
        <x:v>verification:tndc-059:05</x:v>
      </x:c>
      <x:c r="C136" t="str">
        <x:v>5C MEM01</x:v>
      </x:c>
      <x:c r="D136"/>
      <x:c r="E136" t="str">
        <x:v>5C</x:v>
      </x:c>
      <x:c r="F136"/>
      <x:c r="G136" t="str">
        <x:v>4300 Getwell Rd</x:v>
      </x:c>
      <x:c r="H136"/>
      <x:c r="I136" t="str">
        <x:v>Memphis</x:v>
      </x:c>
      <x:c r="J136" t="str">
        <x:v>Shelby</x:v>
      </x:c>
      <x:c r="K136" t="str">
        <x:v>TN</x:v>
      </x:c>
      <x:c r="L136" t="str">
        <x:v>38118</x:v>
      </x:c>
      <x:c r="M136"/>
      <x:c r="N136"/>
      <x:c r="O136" t="str">
        <x:v>address_or_site</x:v>
      </x:c>
      <x:c r="P136" t="str">
        <x:v>medium</x:v>
      </x:c>
      <x:c r="Q136" t="str">
        <x:v>Public-source verification; unknown coordinates were not inferred.</x:v>
      </x:c>
      <x:c r="R136" t="str">
        <x:v>under_construction</x:v>
      </x:c>
      <x:c r="S136" t="str">
        <x:v>under_construction</x:v>
      </x:c>
      <x:c r="T136" t="str">
        <x:v>data_center</x:v>
      </x:c>
      <x:c r="U136"/>
      <x:c r="V136" t="n">
        <x:v>20</x:v>
      </x:c>
      <x:c r="W136"/>
      <x:c r="X136"/>
      <x:c r="Y136"/>
      <x:c r="Z136" t="n">
        <x:v>57.641</x:v>
      </x:c>
      <x:c r="AA136"/>
      <x:c r="AB136"/>
      <x:c r="AC136"/>
      <x:c r="AD136"/>
      <x:c r="AE136"/>
      <x:c r="AF136"/>
      <x:c r="AG136"/>
      <x:c r="AH136"/>
      <x:c r="AI136" t="str">
        <x:v>2026-09-03</x:v>
      </x:c>
      <x:c r="AJ136" s="85" t="str">
        <x:v>https://www.shelbytnhealth.com/DocumentCenter/View/7588</x:v>
      </x:c>
      <x:c r="AK136" s="85" t="str">
        <x:v>https://www.shelbytnhealth.com/DocumentCenter/View/7588</x:v>
      </x:c>
      <x:c r="AL136" s="85" t="str">
        <x:v>https://www.shelbytnhealth.com/DocumentCenter/View/7588</x:v>
      </x:c>
      <x:c r="AM136" s="85" t="str">
        <x:v>5C reports 20 MW at MEM01 with further expansion planned. County/public-health records use 4300 Getwell Rd; some industry directories use 4280, so the discrepancy remains flagged.</x:v>
      </x:c>
      <x:c r="AN136" t="str">
        <x:v>core_data_center</x:v>
      </x:c>
      <x:c r="AO136" s="76" t="b">
        <x:v>1</x:v>
      </x:c>
      <x:c r="AP136" t="str">
        <x:v>5C</x:v>
      </x:c>
      <x:c r="AQ136" t="str">
        <x:v>5c mem01</x:v>
      </x:c>
      <x:c r="AR136" t="str">
        <x:v>4300 getwell rd</x:v>
      </x:c>
    </x:row>
    <x:row r="137">
      <x:c r="A137" t="str">
        <x:v>datacenterdynamics.com</x:v>
      </x:c>
      <x:c r="B137" t="str">
        <x:v>verification:tndc-059:06</x:v>
      </x:c>
      <x:c r="C137" t="str">
        <x:v>5C MEM01</x:v>
      </x:c>
      <x:c r="D137"/>
      <x:c r="E137" t="str">
        <x:v>5C</x:v>
      </x:c>
      <x:c r="F137"/>
      <x:c r="G137" t="str">
        <x:v>4300 Getwell Rd</x:v>
      </x:c>
      <x:c r="H137"/>
      <x:c r="I137" t="str">
        <x:v>Memphis</x:v>
      </x:c>
      <x:c r="J137" t="str">
        <x:v>Shelby</x:v>
      </x:c>
      <x:c r="K137" t="str">
        <x:v>TN</x:v>
      </x:c>
      <x:c r="L137" t="str">
        <x:v>38118</x:v>
      </x:c>
      <x:c r="M137"/>
      <x:c r="N137"/>
      <x:c r="O137" t="str">
        <x:v>address_or_site</x:v>
      </x:c>
      <x:c r="P137" t="str">
        <x:v>medium</x:v>
      </x:c>
      <x:c r="Q137" t="str">
        <x:v>Public-source verification; unknown coordinates were not inferred.</x:v>
      </x:c>
      <x:c r="R137" t="str">
        <x:v>under_construction</x:v>
      </x:c>
      <x:c r="S137" t="str">
        <x:v>under_construction</x:v>
      </x:c>
      <x:c r="T137" t="str">
        <x:v>data_center</x:v>
      </x:c>
      <x:c r="U137"/>
      <x:c r="V137" t="n">
        <x:v>20</x:v>
      </x:c>
      <x:c r="W137"/>
      <x:c r="X137"/>
      <x:c r="Y137"/>
      <x:c r="Z137" t="n">
        <x:v>57.641</x:v>
      </x:c>
      <x:c r="AA137"/>
      <x:c r="AB137"/>
      <x:c r="AC137"/>
      <x:c r="AD137"/>
      <x:c r="AE137"/>
      <x:c r="AF137"/>
      <x:c r="AG137"/>
      <x:c r="AH137"/>
      <x:c r="AI137" t="str">
        <x:v>2026-09-03</x:v>
      </x:c>
      <x:c r="AJ137" s="85" t="str">
        <x:v>https://www.datacenterdynamics.com/en/news/5c-plots-data-center-at-former-freds-site-in-memphis-tennessee/</x:v>
      </x:c>
      <x:c r="AK137" s="85" t="str">
        <x:v>https://www.datacenterdynamics.com/en/news/5c-plots-data-center-at-former-freds-site-in-memphis-tennessee/</x:v>
      </x:c>
      <x:c r="AL137" s="85" t="str">
        <x:v>https://www.datacenterdynamics.com/en/news/5c-plots-data-center-at-former-freds-site-in-memphis-tennessee/</x:v>
      </x:c>
      <x:c r="AM137" s="85" t="str">
        <x:v>5C reports 20 MW at MEM01 with further expansion planned. County/public-health records use 4300 Getwell Rd; some industry directories use 4280, so the discrepancy remains flagged.</x:v>
      </x:c>
      <x:c r="AN137" t="str">
        <x:v>core_data_center</x:v>
      </x:c>
      <x:c r="AO137" s="76" t="b">
        <x:v>1</x:v>
      </x:c>
      <x:c r="AP137" t="str">
        <x:v>5C</x:v>
      </x:c>
      <x:c r="AQ137" t="str">
        <x:v>5c mem01</x:v>
      </x:c>
      <x:c r="AR137" t="str">
        <x:v>4300 getwell rd</x:v>
      </x:c>
    </x:row>
    <x:row r="138">
      <x:c r="A138" t="str">
        <x:v>datacentermap.com</x:v>
      </x:c>
      <x:c r="B138" t="str">
        <x:v>verification:tndc-059:07</x:v>
      </x:c>
      <x:c r="C138" t="str">
        <x:v>5C MEM01</x:v>
      </x:c>
      <x:c r="D138"/>
      <x:c r="E138" t="str">
        <x:v>5C</x:v>
      </x:c>
      <x:c r="F138"/>
      <x:c r="G138" t="str">
        <x:v>4300 Getwell Rd</x:v>
      </x:c>
      <x:c r="H138"/>
      <x:c r="I138" t="str">
        <x:v>Memphis</x:v>
      </x:c>
      <x:c r="J138" t="str">
        <x:v>Shelby</x:v>
      </x:c>
      <x:c r="K138" t="str">
        <x:v>TN</x:v>
      </x:c>
      <x:c r="L138" t="str">
        <x:v>38118</x:v>
      </x:c>
      <x:c r="M138"/>
      <x:c r="N138"/>
      <x:c r="O138" t="str">
        <x:v>address_or_site</x:v>
      </x:c>
      <x:c r="P138" t="str">
        <x:v>medium</x:v>
      </x:c>
      <x:c r="Q138" t="str">
        <x:v>Public-source verification; unknown coordinates were not inferred.</x:v>
      </x:c>
      <x:c r="R138" t="str">
        <x:v>under_construction</x:v>
      </x:c>
      <x:c r="S138" t="str">
        <x:v>under_construction</x:v>
      </x:c>
      <x:c r="T138" t="str">
        <x:v>data_center</x:v>
      </x:c>
      <x:c r="U138"/>
      <x:c r="V138" t="n">
        <x:v>20</x:v>
      </x:c>
      <x:c r="W138"/>
      <x:c r="X138"/>
      <x:c r="Y138"/>
      <x:c r="Z138" t="n">
        <x:v>57.641</x:v>
      </x:c>
      <x:c r="AA138"/>
      <x:c r="AB138"/>
      <x:c r="AC138"/>
      <x:c r="AD138"/>
      <x:c r="AE138"/>
      <x:c r="AF138"/>
      <x:c r="AG138"/>
      <x:c r="AH138"/>
      <x:c r="AI138" t="str">
        <x:v>2026-09-03</x:v>
      </x:c>
      <x:c r="AJ138" s="85" t="str">
        <x:v>https://www.datacentermap.com/usa/tennessee/memphis/5cdc-memphis-mem01/</x:v>
      </x:c>
      <x:c r="AK138" s="85" t="str">
        <x:v>https://www.datacentermap.com/usa/tennessee/memphis/5cdc-memphis-mem01/</x:v>
      </x:c>
      <x:c r="AL138" s="85" t="str">
        <x:v>https://www.datacentermap.com/usa/tennessee/memphis/5cdc-memphis-mem01/</x:v>
      </x:c>
      <x:c r="AM138" s="85" t="str">
        <x:v>5C reports 20 MW at MEM01 with further expansion planned. County/public-health records use 4300 Getwell Rd; some industry directories use 4280, so the discrepancy remains flagged.</x:v>
      </x:c>
      <x:c r="AN138" t="str">
        <x:v>core_data_center</x:v>
      </x:c>
      <x:c r="AO138" s="76" t="b">
        <x:v>1</x:v>
      </x:c>
      <x:c r="AP138" t="str">
        <x:v>5C</x:v>
      </x:c>
      <x:c r="AQ138" t="str">
        <x:v>5c mem01</x:v>
      </x:c>
      <x:c r="AR138" t="str">
        <x:v>4300 getwell rd</x:v>
      </x:c>
    </x:row>
    <x:row r="139">
      <x:c r="A139" t="str">
        <x:v>baxtel.com</x:v>
      </x:c>
      <x:c r="B139" t="str">
        <x:v>verification:tndc-059:08</x:v>
      </x:c>
      <x:c r="C139" t="str">
        <x:v>5C MEM01</x:v>
      </x:c>
      <x:c r="D139"/>
      <x:c r="E139" t="str">
        <x:v>5C</x:v>
      </x:c>
      <x:c r="F139"/>
      <x:c r="G139" t="str">
        <x:v>4300 Getwell Rd</x:v>
      </x:c>
      <x:c r="H139"/>
      <x:c r="I139" t="str">
        <x:v>Memphis</x:v>
      </x:c>
      <x:c r="J139" t="str">
        <x:v>Shelby</x:v>
      </x:c>
      <x:c r="K139" t="str">
        <x:v>TN</x:v>
      </x:c>
      <x:c r="L139" t="str">
        <x:v>38118</x:v>
      </x:c>
      <x:c r="M139"/>
      <x:c r="N139"/>
      <x:c r="O139" t="str">
        <x:v>address_or_site</x:v>
      </x:c>
      <x:c r="P139" t="str">
        <x:v>medium</x:v>
      </x:c>
      <x:c r="Q139" t="str">
        <x:v>Public-source verification; unknown coordinates were not inferred.</x:v>
      </x:c>
      <x:c r="R139" t="str">
        <x:v>under_construction</x:v>
      </x:c>
      <x:c r="S139" t="str">
        <x:v>under_construction</x:v>
      </x:c>
      <x:c r="T139" t="str">
        <x:v>data_center</x:v>
      </x:c>
      <x:c r="U139"/>
      <x:c r="V139" t="n">
        <x:v>20</x:v>
      </x:c>
      <x:c r="W139"/>
      <x:c r="X139"/>
      <x:c r="Y139"/>
      <x:c r="Z139" t="n">
        <x:v>57.641</x:v>
      </x:c>
      <x:c r="AA139"/>
      <x:c r="AB139"/>
      <x:c r="AC139"/>
      <x:c r="AD139"/>
      <x:c r="AE139"/>
      <x:c r="AF139"/>
      <x:c r="AG139"/>
      <x:c r="AH139"/>
      <x:c r="AI139" t="str">
        <x:v>2026-09-03</x:v>
      </x:c>
      <x:c r="AJ139" s="85" t="str">
        <x:v>https://baxtel.com/data-center/5cdc-memphis-tn</x:v>
      </x:c>
      <x:c r="AK139" s="85" t="str">
        <x:v>https://baxtel.com/data-center/5cdc-memphis-tn</x:v>
      </x:c>
      <x:c r="AL139" s="85" t="str">
        <x:v>https://baxtel.com/data-center/5cdc-memphis-tn</x:v>
      </x:c>
      <x:c r="AM139" s="85" t="str">
        <x:v>5C reports 20 MW at MEM01 with further expansion planned. County/public-health records use 4300 Getwell Rd; some industry directories use 4280, so the discrepancy remains flagged.</x:v>
      </x:c>
      <x:c r="AN139" t="str">
        <x:v>core_data_center</x:v>
      </x:c>
      <x:c r="AO139" s="76" t="b">
        <x:v>1</x:v>
      </x:c>
      <x:c r="AP139" t="str">
        <x:v>5C</x:v>
      </x:c>
      <x:c r="AQ139" t="str">
        <x:v>5c mem01</x:v>
      </x:c>
      <x:c r="AR139" t="str">
        <x:v>4300 getwell rd</x:v>
      </x:c>
    </x:row>
    <x:row r="140">
      <x:c r="A140" t="str">
        <x:v>registry.deploy.report</x:v>
      </x:c>
      <x:c r="B140" t="str">
        <x:v>verification:tndc-059:09</x:v>
      </x:c>
      <x:c r="C140" t="str">
        <x:v>5C MEM01</x:v>
      </x:c>
      <x:c r="D140"/>
      <x:c r="E140" t="str">
        <x:v>5C</x:v>
      </x:c>
      <x:c r="F140"/>
      <x:c r="G140" t="str">
        <x:v>4300 Getwell Rd</x:v>
      </x:c>
      <x:c r="H140"/>
      <x:c r="I140" t="str">
        <x:v>Memphis</x:v>
      </x:c>
      <x:c r="J140" t="str">
        <x:v>Shelby</x:v>
      </x:c>
      <x:c r="K140" t="str">
        <x:v>TN</x:v>
      </x:c>
      <x:c r="L140" t="str">
        <x:v>38118</x:v>
      </x:c>
      <x:c r="M140"/>
      <x:c r="N140"/>
      <x:c r="O140" t="str">
        <x:v>address_or_site</x:v>
      </x:c>
      <x:c r="P140" t="str">
        <x:v>medium</x:v>
      </x:c>
      <x:c r="Q140" t="str">
        <x:v>Public-source verification; unknown coordinates were not inferred.</x:v>
      </x:c>
      <x:c r="R140" t="str">
        <x:v>under_construction</x:v>
      </x:c>
      <x:c r="S140" t="str">
        <x:v>under_construction</x:v>
      </x:c>
      <x:c r="T140" t="str">
        <x:v>data_center</x:v>
      </x:c>
      <x:c r="U140"/>
      <x:c r="V140" t="n">
        <x:v>20</x:v>
      </x:c>
      <x:c r="W140"/>
      <x:c r="X140"/>
      <x:c r="Y140"/>
      <x:c r="Z140" t="n">
        <x:v>57.641</x:v>
      </x:c>
      <x:c r="AA140"/>
      <x:c r="AB140"/>
      <x:c r="AC140"/>
      <x:c r="AD140"/>
      <x:c r="AE140"/>
      <x:c r="AF140"/>
      <x:c r="AG140"/>
      <x:c r="AH140"/>
      <x:c r="AI140" t="str">
        <x:v>2026-09-03</x:v>
      </x:c>
      <x:c r="AJ140" s="85" t="str">
        <x:v>https://registry.deploy.report/datacenters/facilities/5c-memphis-getwell-road-tn</x:v>
      </x:c>
      <x:c r="AK140" s="85" t="str">
        <x:v>https://registry.deploy.report/datacenters/facilities/5c-memphis-getwell-road-tn</x:v>
      </x:c>
      <x:c r="AL140" s="85" t="str">
        <x:v>https://registry.deploy.report/datacenters/facilities/5c-memphis-getwell-road-tn</x:v>
      </x:c>
      <x:c r="AM140" s="85" t="str">
        <x:v>5C reports 20 MW at MEM01 with further expansion planned. County/public-health records use 4300 Getwell Rd; some industry directories use 4280, so the discrepancy remains flagged.</x:v>
      </x:c>
      <x:c r="AN140" t="str">
        <x:v>core_data_center</x:v>
      </x:c>
      <x:c r="AO140" s="76" t="b">
        <x:v>1</x:v>
      </x:c>
      <x:c r="AP140" t="str">
        <x:v>5C</x:v>
      </x:c>
      <x:c r="AQ140" t="str">
        <x:v>5c mem01</x:v>
      </x:c>
      <x:c r="AR140" t="str">
        <x:v>4300 getwell rd</x:v>
      </x:c>
    </x:row>
    <x:row r="141">
      <x:c r="A141" t="str">
        <x:v>datacenterdynamics.com</x:v>
      </x:c>
      <x:c r="B141" t="str">
        <x:v>verification:tndc-060:01</x:v>
      </x:c>
      <x:c r="C141" t="str">
        <x:v>The STEM Practice Memphis</x:v>
      </x:c>
      <x:c r="D141"/>
      <x:c r="E141" t="str">
        <x:v>The STEM Practice</x:v>
      </x:c>
      <x:c r="F141"/>
      <x:c r="G141" t="str">
        <x:v>1341 Sycamore View Rd</x:v>
      </x:c>
      <x:c r="H141"/>
      <x:c r="I141" t="str">
        <x:v>Memphis</x:v>
      </x:c>
      <x:c r="J141" t="str">
        <x:v>Shelby</x:v>
      </x:c>
      <x:c r="K141" t="str">
        <x:v>TN</x:v>
      </x:c>
      <x:c r="L141" t="str">
        <x:v>38134</x:v>
      </x:c>
      <x:c r="M141" t="n">
        <x:v>35.161945</x:v>
      </x:c>
      <x:c r="N141" t="n">
        <x:v>-89.860031</x:v>
      </x:c>
      <x:c r="O141" t="str">
        <x:v>address_or_site</x:v>
      </x:c>
      <x:c r="P141" t="str">
        <x:v>high</x:v>
      </x:c>
      <x:c r="Q141" t="str">
        <x:v>Public-source verification; unknown coordinates were not inferred.</x:v>
      </x:c>
      <x:c r="R141" t="str">
        <x:v>proposed</x:v>
      </x:c>
      <x:c r="S141" t="str">
        <x:v>proposed</x:v>
      </x:c>
      <x:c r="T141" t="str">
        <x:v>data_center</x:v>
      </x:c>
      <x:c r="U141"/>
      <x:c r="V141" t="n">
        <x:v>9</x:v>
      </x:c>
      <x:c r="W141"/>
      <x:c r="X141"/>
      <x:c r="Y141" t="n">
        <x:v>38500</x:v>
      </x:c>
      <x:c r="Z141"/>
      <x:c r="AA141"/>
      <x:c r="AB141"/>
      <x:c r="AC141"/>
      <x:c r="AD141"/>
      <x:c r="AE141"/>
      <x:c r="AF141"/>
      <x:c r="AG141"/>
      <x:c r="AH141"/>
      <x:c r="AI141" t="str">
        <x:v>2026-09-03</x:v>
      </x:c>
      <x:c r="AJ141" s="85" t="str">
        <x:v>https://www.datacenterdynamics.com/en/news/data-center-acquired-in-memphis-set-to-serve-oracle-cloud-partner/</x:v>
      </x:c>
      <x:c r="AK141" s="85" t="str">
        <x:v>https://www.datacenterdynamics.com/en/news/data-center-acquired-in-memphis-set-to-serve-oracle-cloud-partner/</x:v>
      </x:c>
      <x:c r="AL141" s="85" t="str">
        <x:v>https://www.datacenterdynamics.com/en/news/data-center-acquired-in-memphis-set-to-serve-oracle-cloud-partner/</x:v>
      </x:c>
      <x:c r="AM141" s="85" t="str">
        <x:v>The property acquisition and conversion plan are public; the reported May 2026 target was not independently confirmed as operational, so status remains proposed.</x:v>
      </x:c>
      <x:c r="AN141" t="str">
        <x:v>core_data_center</x:v>
      </x:c>
      <x:c r="AO141" s="76" t="b">
        <x:v>1</x:v>
      </x:c>
      <x:c r="AP141" t="str">
        <x:v>The STEM Practice</x:v>
      </x:c>
      <x:c r="AQ141" t="str">
        <x:v>the stem practice memphis</x:v>
      </x:c>
      <x:c r="AR141" t="str">
        <x:v>1341 sycamore view rd</x:v>
      </x:c>
    </x:row>
    <x:row r="142">
      <x:c r="A142" t="str">
        <x:v>datacentermap.com</x:v>
      </x:c>
      <x:c r="B142" t="str">
        <x:v>verification:tndc-060:02</x:v>
      </x:c>
      <x:c r="C142" t="str">
        <x:v>The STEM Practice Memphis</x:v>
      </x:c>
      <x:c r="D142"/>
      <x:c r="E142" t="str">
        <x:v>The STEM Practice</x:v>
      </x:c>
      <x:c r="F142"/>
      <x:c r="G142" t="str">
        <x:v>1341 Sycamore View Rd</x:v>
      </x:c>
      <x:c r="H142"/>
      <x:c r="I142" t="str">
        <x:v>Memphis</x:v>
      </x:c>
      <x:c r="J142" t="str">
        <x:v>Shelby</x:v>
      </x:c>
      <x:c r="K142" t="str">
        <x:v>TN</x:v>
      </x:c>
      <x:c r="L142" t="str">
        <x:v>38134</x:v>
      </x:c>
      <x:c r="M142" t="n">
        <x:v>35.161945</x:v>
      </x:c>
      <x:c r="N142" t="n">
        <x:v>-89.860031</x:v>
      </x:c>
      <x:c r="O142" t="str">
        <x:v>address_or_site</x:v>
      </x:c>
      <x:c r="P142" t="str">
        <x:v>high</x:v>
      </x:c>
      <x:c r="Q142" t="str">
        <x:v>Public-source verification; unknown coordinates were not inferred.</x:v>
      </x:c>
      <x:c r="R142" t="str">
        <x:v>proposed</x:v>
      </x:c>
      <x:c r="S142" t="str">
        <x:v>proposed</x:v>
      </x:c>
      <x:c r="T142" t="str">
        <x:v>data_center</x:v>
      </x:c>
      <x:c r="U142"/>
      <x:c r="V142" t="n">
        <x:v>9</x:v>
      </x:c>
      <x:c r="W142"/>
      <x:c r="X142"/>
      <x:c r="Y142" t="n">
        <x:v>38500</x:v>
      </x:c>
      <x:c r="Z142"/>
      <x:c r="AA142"/>
      <x:c r="AB142"/>
      <x:c r="AC142"/>
      <x:c r="AD142"/>
      <x:c r="AE142"/>
      <x:c r="AF142"/>
      <x:c r="AG142"/>
      <x:c r="AH142"/>
      <x:c r="AI142" t="str">
        <x:v>2026-09-03</x:v>
      </x:c>
      <x:c r="AJ142" s="85" t="str">
        <x:v>https://www.datacentermap.com/usa/tennessee/memphis/the-stem-practice-memphis/</x:v>
      </x:c>
      <x:c r="AK142" s="85" t="str">
        <x:v>https://www.datacentermap.com/usa/tennessee/memphis/the-stem-practice-memphis/</x:v>
      </x:c>
      <x:c r="AL142" s="85" t="str">
        <x:v>https://www.datacentermap.com/usa/tennessee/memphis/the-stem-practice-memphis/</x:v>
      </x:c>
      <x:c r="AM142" s="85" t="str">
        <x:v>The property acquisition and conversion plan are public; the reported May 2026 target was not independently confirmed as operational, so status remains proposed.</x:v>
      </x:c>
      <x:c r="AN142" t="str">
        <x:v>core_data_center</x:v>
      </x:c>
      <x:c r="AO142" s="76" t="b">
        <x:v>1</x:v>
      </x:c>
      <x:c r="AP142" t="str">
        <x:v>The STEM Practice</x:v>
      </x:c>
      <x:c r="AQ142" t="str">
        <x:v>the stem practice memphis</x:v>
      </x:c>
      <x:c r="AR142" t="str">
        <x:v>1341 sycamore view rd</x:v>
      </x:c>
    </x:row>
    <x:row r="143">
      <x:c r="A143" t="str">
        <x:v>dailymemphian.com</x:v>
      </x:c>
      <x:c r="B143" t="str">
        <x:v>verification:tndc-060:03</x:v>
      </x:c>
      <x:c r="C143" t="str">
        <x:v>The STEM Practice Memphis</x:v>
      </x:c>
      <x:c r="D143"/>
      <x:c r="E143" t="str">
        <x:v>The STEM Practice</x:v>
      </x:c>
      <x:c r="F143"/>
      <x:c r="G143" t="str">
        <x:v>1341 Sycamore View Rd</x:v>
      </x:c>
      <x:c r="H143"/>
      <x:c r="I143" t="str">
        <x:v>Memphis</x:v>
      </x:c>
      <x:c r="J143" t="str">
        <x:v>Shelby</x:v>
      </x:c>
      <x:c r="K143" t="str">
        <x:v>TN</x:v>
      </x:c>
      <x:c r="L143" t="str">
        <x:v>38134</x:v>
      </x:c>
      <x:c r="M143" t="n">
        <x:v>35.161945</x:v>
      </x:c>
      <x:c r="N143" t="n">
        <x:v>-89.860031</x:v>
      </x:c>
      <x:c r="O143" t="str">
        <x:v>address_or_site</x:v>
      </x:c>
      <x:c r="P143" t="str">
        <x:v>high</x:v>
      </x:c>
      <x:c r="Q143" t="str">
        <x:v>Public-source verification; unknown coordinates were not inferred.</x:v>
      </x:c>
      <x:c r="R143" t="str">
        <x:v>proposed</x:v>
      </x:c>
      <x:c r="S143" t="str">
        <x:v>proposed</x:v>
      </x:c>
      <x:c r="T143" t="str">
        <x:v>data_center</x:v>
      </x:c>
      <x:c r="U143"/>
      <x:c r="V143" t="n">
        <x:v>9</x:v>
      </x:c>
      <x:c r="W143"/>
      <x:c r="X143"/>
      <x:c r="Y143" t="n">
        <x:v>38500</x:v>
      </x:c>
      <x:c r="Z143"/>
      <x:c r="AA143"/>
      <x:c r="AB143"/>
      <x:c r="AC143"/>
      <x:c r="AD143"/>
      <x:c r="AE143"/>
      <x:c r="AF143"/>
      <x:c r="AG143"/>
      <x:c r="AH143"/>
      <x:c r="AI143" t="str">
        <x:v>2026-09-03</x:v>
      </x:c>
      <x:c r="AJ143" s="85" t="str">
        <x:v>https://dailymemphian.com/subscriber/section/business/article/58881/sentrynet-building-to-become-ai-data-center</x:v>
      </x:c>
      <x:c r="AK143" s="85" t="str">
        <x:v>https://dailymemphian.com/subscriber/section/business/article/58881/sentrynet-building-to-become-ai-data-center</x:v>
      </x:c>
      <x:c r="AL143" s="85" t="str">
        <x:v>https://dailymemphian.com/subscriber/section/business/article/58881/sentrynet-building-to-become-ai-data-center</x:v>
      </x:c>
      <x:c r="AM143" s="85" t="str">
        <x:v>The property acquisition and conversion plan are public; the reported May 2026 target was not independently confirmed as operational, so status remains proposed.</x:v>
      </x:c>
      <x:c r="AN143" t="str">
        <x:v>core_data_center</x:v>
      </x:c>
      <x:c r="AO143" s="76" t="b">
        <x:v>1</x:v>
      </x:c>
      <x:c r="AP143" t="str">
        <x:v>The STEM Practice</x:v>
      </x:c>
      <x:c r="AQ143" t="str">
        <x:v>the stem practice memphis</x:v>
      </x:c>
      <x:c r="AR143" t="str">
        <x:v>1341 sycamore view rd</x:v>
      </x:c>
    </x:row>
    <x:row r="144">
      <x:c r="A144" t="str">
        <x:v>humboldtchamber.com</x:v>
      </x:c>
      <x:c r="B144" t="str">
        <x:v>verification:tndc-061:01</x:v>
      </x:c>
      <x:c r="C144" t="str">
        <x:v>Humboldt / Gibson County Crypto Mining Facility</x:v>
      </x:c>
      <x:c r="D144"/>
      <x:c r="E144"/>
      <x:c r="F144"/>
      <x:c r="G144"/>
      <x:c r="H144"/>
      <x:c r="I144" t="str">
        <x:v>Humboldt</x:v>
      </x:c>
      <x:c r="J144" t="str">
        <x:v>Gibson</x:v>
      </x:c>
      <x:c r="K144" t="str">
        <x:v>TN</x:v>
      </x:c>
      <x:c r="L144"/>
      <x:c r="M144"/>
      <x:c r="N144"/>
      <x:c r="O144" t="str">
        <x:v>area_or_city</x:v>
      </x:c>
      <x:c r="P144" t="str">
        <x:v>medium</x:v>
      </x:c>
      <x:c r="Q144" t="str">
        <x:v>Public-source verification; unknown coordinates were not inferred.</x:v>
      </x:c>
      <x:c r="R144" t="str">
        <x:v>under_construction</x:v>
      </x:c>
      <x:c r="S144" t="str">
        <x:v>under_construction</x:v>
      </x:c>
      <x:c r="T144" t="str">
        <x:v>crypto_mining</x:v>
      </x:c>
      <x:c r="U144"/>
      <x:c r="V144" t="n">
        <x:v>15</x:v>
      </x:c>
      <x:c r="W144"/>
      <x:c r="X144"/>
      <x:c r="Y144"/>
      <x:c r="Z144" t="n">
        <x:v>2</x:v>
      </x:c>
      <x:c r="AA144"/>
      <x:c r="AB144"/>
      <x:c r="AC144"/>
      <x:c r="AD144"/>
      <x:c r="AE144"/>
      <x:c r="AF144"/>
      <x:c r="AG144"/>
      <x:c r="AH144"/>
      <x:c r="AI144" t="str">
        <x:v>2026-09-03</x:v>
      </x:c>
      <x:c r="AJ144" s="85" t="str">
        <x:v>https://humboldtchamber.com/local-officials-release-details-on-humboldt-data-center/</x:v>
      </x:c>
      <x:c r="AK144" s="85" t="str">
        <x:v>https://humboldtchamber.com/local-officials-release-details-on-humboldt-data-center/</x:v>
      </x:c>
      <x:c r="AL144" s="85" t="str">
        <x:v>https://humboldtchamber.com/local-officials-release-details-on-humboldt-data-center/</x:v>
      </x:c>
      <x:c r="AM144" s="85" t="str">
        <x:v>Local officials confirmed construction and 15 MW planned load, but did not disclose the operator or exact site address; no later operational confirmation was found.</x:v>
      </x:c>
      <x:c r="AN144" t="str">
        <x:v>crypto_mining</x:v>
      </x:c>
      <x:c r="AO144" s="76" t="b">
        <x:v>1</x:v>
      </x:c>
      <x:c r="AP144"/>
      <x:c r="AQ144" t="str">
        <x:v>humboldt / gibson county crypto mining facility</x:v>
      </x:c>
      <x:c r="AR144"/>
    </x:row>
    <x:row r="145">
      <x:c r="A145" t="str">
        <x:v>registry.deploy.report</x:v>
      </x:c>
      <x:c r="B145" t="str">
        <x:v>verification:tndc-061:02</x:v>
      </x:c>
      <x:c r="C145" t="str">
        <x:v>Humboldt / Gibson County Crypto Mining Facility</x:v>
      </x:c>
      <x:c r="D145"/>
      <x:c r="E145"/>
      <x:c r="F145"/>
      <x:c r="G145"/>
      <x:c r="H145"/>
      <x:c r="I145" t="str">
        <x:v>Humboldt</x:v>
      </x:c>
      <x:c r="J145" t="str">
        <x:v>Gibson</x:v>
      </x:c>
      <x:c r="K145" t="str">
        <x:v>TN</x:v>
      </x:c>
      <x:c r="L145"/>
      <x:c r="M145"/>
      <x:c r="N145"/>
      <x:c r="O145" t="str">
        <x:v>area_or_city</x:v>
      </x:c>
      <x:c r="P145" t="str">
        <x:v>medium</x:v>
      </x:c>
      <x:c r="Q145" t="str">
        <x:v>Public-source verification; unknown coordinates were not inferred.</x:v>
      </x:c>
      <x:c r="R145" t="str">
        <x:v>under_construction</x:v>
      </x:c>
      <x:c r="S145" t="str">
        <x:v>under_construction</x:v>
      </x:c>
      <x:c r="T145" t="str">
        <x:v>crypto_mining</x:v>
      </x:c>
      <x:c r="U145"/>
      <x:c r="V145" t="n">
        <x:v>15</x:v>
      </x:c>
      <x:c r="W145"/>
      <x:c r="X145"/>
      <x:c r="Y145"/>
      <x:c r="Z145" t="n">
        <x:v>2</x:v>
      </x:c>
      <x:c r="AA145"/>
      <x:c r="AB145"/>
      <x:c r="AC145"/>
      <x:c r="AD145"/>
      <x:c r="AE145"/>
      <x:c r="AF145"/>
      <x:c r="AG145"/>
      <x:c r="AH145"/>
      <x:c r="AI145" t="str">
        <x:v>2026-09-03</x:v>
      </x:c>
      <x:c r="AJ145" s="85" t="str">
        <x:v>https://registry.deploy.report/datacenters/facilities/humboldt-gibson-county-crypto-mine-tn</x:v>
      </x:c>
      <x:c r="AK145" s="85" t="str">
        <x:v>https://registry.deploy.report/datacenters/facilities/humboldt-gibson-county-crypto-mine-tn</x:v>
      </x:c>
      <x:c r="AL145" s="85" t="str">
        <x:v>https://registry.deploy.report/datacenters/facilities/humboldt-gibson-county-crypto-mine-tn</x:v>
      </x:c>
      <x:c r="AM145" s="85" t="str">
        <x:v>Local officials confirmed construction and 15 MW planned load, but did not disclose the operator or exact site address; no later operational confirmation was found.</x:v>
      </x:c>
      <x:c r="AN145" t="str">
        <x:v>crypto_mining</x:v>
      </x:c>
      <x:c r="AO145" s="76" t="b">
        <x:v>1</x:v>
      </x:c>
      <x:c r="AP145"/>
      <x:c r="AQ145" t="str">
        <x:v>humboldt / gibson county crypto mining facility</x:v>
      </x:c>
      <x:c r="AR145"/>
    </x:row>
    <x:row r="146">
      <x:c r="A146" t="str">
        <x:v>globenewswire.com</x:v>
      </x:c>
      <x:c r="B146" t="str">
        <x:v>verification:tncand-005:01</x:v>
      </x:c>
      <x:c r="C146" t="str">
        <x:v>GRIID Jackson 60 MW Bitcoin Mining Project</x:v>
      </x:c>
      <x:c r="D146"/>
      <x:c r="E146"/>
      <x:c r="F146"/>
      <x:c r="G146"/>
      <x:c r="H146"/>
      <x:c r="I146" t="str">
        <x:v>Jackson</x:v>
      </x:c>
      <x:c r="J146" t="str">
        <x:v>Madison</x:v>
      </x:c>
      <x:c r="K146" t="str">
        <x:v>TN</x:v>
      </x:c>
      <x:c r="L146"/>
      <x:c r="M146"/>
      <x:c r="N146"/>
      <x:c r="O146" t="str">
        <x:v>area_or_city</x:v>
      </x:c>
      <x:c r="P146" t="str">
        <x:v>low</x:v>
      </x:c>
      <x:c r="Q146" t="str">
        <x:v>Public-source verification; unknown coordinates were not inferred.</x:v>
      </x:c>
      <x:c r="R146"/>
      <x:c r="S146" t="str">
        <x:v>proposed</x:v>
      </x:c>
      <x:c r="T146" t="str">
        <x:v>announced_crypto_mining_site</x:v>
      </x:c>
      <x:c r="U146"/>
      <x:c r="V146"/>
      <x:c r="W146"/>
      <x:c r="X146"/>
      <x:c r="Y146"/>
      <x:c r="Z146"/>
      <x:c r="AA146"/>
      <x:c r="AB146"/>
      <x:c r="AC146"/>
      <x:c r="AD146"/>
      <x:c r="AE146"/>
      <x:c r="AF146"/>
      <x:c r="AG146"/>
      <x:c r="AH146"/>
      <x:c r="AI146" t="str">
        <x:v>2026-09-03</x:v>
      </x:c>
      <x:c r="AJ146" s="85" t="str">
        <x:v>https://www.globenewswire.com/news-release/2024/02/06/2824158/0/en/GRIID-Infrastructure-to-Add-60-MW-with-New-Bitcoin-Mining-Facility-in-Tennessee.html</x:v>
      </x:c>
      <x:c r="AK146" s="85" t="str">
        <x:v>https://www.globenewswire.com/news-release/2024/02/06/2824158/0/en/GRIID-Infrastructure-to-Add-60-MW-with-New-Bitcoin-Mining-Facility-in-Tennessee.html</x:v>
      </x:c>
      <x:c r="AL146" s="85" t="str">
        <x:v>https://www.globenewswire.com/news-release/2024/02/06/2824158/0/en/GRIID-Infrastructure-to-Add-60-MW-with-New-Bitcoin-Mining-Facility-in-Tennessee.html</x:v>
      </x:c>
      <x:c r="AM146" s="85" t="str">
        <x:v>Do not merge with Tiger Jones or promote to Master until a parcel/address and current project status are confirmed.</x:v>
      </x:c>
      <x:c r="AN146" t="str">
        <x:v>candidate_site</x:v>
      </x:c>
      <x:c r="AO146" s="76" t="b">
        <x:v>0</x:v>
      </x:c>
      <x:c r="AP146"/>
      <x:c r="AQ146" t="str">
        <x:v>griid jackson 60 mw bitcoin mining project</x:v>
      </x:c>
      <x:c r="AR146"/>
    </x:row>
    <x:row r="147">
      <x:c r="A147" t="str">
        <x:v>prnewswire.com</x:v>
      </x:c>
      <x:c r="B147" t="str">
        <x:v>verification:tncand-005:02</x:v>
      </x:c>
      <x:c r="C147" t="str">
        <x:v>GRIID Jackson 60 MW Bitcoin Mining Project</x:v>
      </x:c>
      <x:c r="D147"/>
      <x:c r="E147"/>
      <x:c r="F147"/>
      <x:c r="G147"/>
      <x:c r="H147"/>
      <x:c r="I147" t="str">
        <x:v>Jackson</x:v>
      </x:c>
      <x:c r="J147" t="str">
        <x:v>Madison</x:v>
      </x:c>
      <x:c r="K147" t="str">
        <x:v>TN</x:v>
      </x:c>
      <x:c r="L147"/>
      <x:c r="M147"/>
      <x:c r="N147"/>
      <x:c r="O147" t="str">
        <x:v>area_or_city</x:v>
      </x:c>
      <x:c r="P147" t="str">
        <x:v>low</x:v>
      </x:c>
      <x:c r="Q147" t="str">
        <x:v>Public-source verification; unknown coordinates were not inferred.</x:v>
      </x:c>
      <x:c r="R147"/>
      <x:c r="S147" t="str">
        <x:v>proposed</x:v>
      </x:c>
      <x:c r="T147" t="str">
        <x:v>announced_crypto_mining_site</x:v>
      </x:c>
      <x:c r="U147"/>
      <x:c r="V147"/>
      <x:c r="W147"/>
      <x:c r="X147"/>
      <x:c r="Y147"/>
      <x:c r="Z147"/>
      <x:c r="AA147"/>
      <x:c r="AB147"/>
      <x:c r="AC147"/>
      <x:c r="AD147"/>
      <x:c r="AE147"/>
      <x:c r="AF147"/>
      <x:c r="AG147"/>
      <x:c r="AH147"/>
      <x:c r="AI147" t="str">
        <x:v>2026-09-03</x:v>
      </x:c>
      <x:c r="AJ147" s="85" t="str">
        <x:v>https://www.prnewswire.com/news-releases/cleanspark-announces-agreement-to-acquire-griid-infrastructure-based-on-an-enterprise-value-of-155-million-and-expansion-plans-of-over-400-mw-in-tennessee-302184116.html</x:v>
      </x:c>
      <x:c r="AK147" s="85" t="str">
        <x:v>https://www.prnewswire.com/news-releases/cleanspark-announces-agreement-to-acquire-griid-infrastructure-based-on-an-enterprise-value-of-155-million-and-expansion-plans-of-over-400-mw-in-tennessee-302184116.html</x:v>
      </x:c>
      <x:c r="AL147" s="85" t="str">
        <x:v>https://www.prnewswire.com/news-releases/cleanspark-announces-agreement-to-acquire-griid-infrastructure-based-on-an-enterprise-value-of-155-million-and-expansion-plans-of-over-400-mw-in-tennessee-302184116.html</x:v>
      </x:c>
      <x:c r="AM147" s="85" t="str">
        <x:v>Do not merge with Tiger Jones or promote to Master until a parcel/address and current project status are confirmed.</x:v>
      </x:c>
      <x:c r="AN147" t="str">
        <x:v>candidate_site</x:v>
      </x:c>
      <x:c r="AO147" s="76" t="b">
        <x:v>0</x:v>
      </x:c>
      <x:c r="AP147"/>
      <x:c r="AQ147" t="str">
        <x:v>griid jackson 60 mw bitcoin mining project</x:v>
      </x:c>
      <x:c r="AR147"/>
    </x:row>
    <x:row r="148">
      <x:c r="A148" t="str">
        <x:v>sec.gov</x:v>
      </x:c>
      <x:c r="B148" t="str">
        <x:v>verification:tncand-005:03</x:v>
      </x:c>
      <x:c r="C148" t="str">
        <x:v>GRIID Jackson 60 MW Bitcoin Mining Project</x:v>
      </x:c>
      <x:c r="D148"/>
      <x:c r="E148"/>
      <x:c r="F148"/>
      <x:c r="G148"/>
      <x:c r="H148"/>
      <x:c r="I148" t="str">
        <x:v>Jackson</x:v>
      </x:c>
      <x:c r="J148" t="str">
        <x:v>Madison</x:v>
      </x:c>
      <x:c r="K148" t="str">
        <x:v>TN</x:v>
      </x:c>
      <x:c r="L148"/>
      <x:c r="M148"/>
      <x:c r="N148"/>
      <x:c r="O148" t="str">
        <x:v>area_or_city</x:v>
      </x:c>
      <x:c r="P148" t="str">
        <x:v>low</x:v>
      </x:c>
      <x:c r="Q148" t="str">
        <x:v>Public-source verification; unknown coordinates were not inferred.</x:v>
      </x:c>
      <x:c r="R148"/>
      <x:c r="S148" t="str">
        <x:v>proposed</x:v>
      </x:c>
      <x:c r="T148" t="str">
        <x:v>announced_crypto_mining_site</x:v>
      </x:c>
      <x:c r="U148"/>
      <x:c r="V148"/>
      <x:c r="W148"/>
      <x:c r="X148"/>
      <x:c r="Y148"/>
      <x:c r="Z148"/>
      <x:c r="AA148"/>
      <x:c r="AB148"/>
      <x:c r="AC148"/>
      <x:c r="AD148"/>
      <x:c r="AE148"/>
      <x:c r="AF148"/>
      <x:c r="AG148"/>
      <x:c r="AH148"/>
      <x:c r="AI148" t="str">
        <x:v>2026-09-03</x:v>
      </x:c>
      <x:c r="AJ148" s="85" t="str">
        <x:v>https://www.sec.gov/Archives/edgar/data/1830029/000119312524223759/d888816ddefm14a.htm</x:v>
      </x:c>
      <x:c r="AK148" s="85" t="str">
        <x:v>https://www.sec.gov/Archives/edgar/data/1830029/000119312524223759/d888816ddefm14a.htm</x:v>
      </x:c>
      <x:c r="AL148" s="85" t="str">
        <x:v>https://www.sec.gov/Archives/edgar/data/1830029/000119312524223759/d888816ddefm14a.htm</x:v>
      </x:c>
      <x:c r="AM148" s="85" t="str">
        <x:v>Do not merge with Tiger Jones or promote to Master until a parcel/address and current project status are confirmed.</x:v>
      </x:c>
      <x:c r="AN148" t="str">
        <x:v>candidate_site</x:v>
      </x:c>
      <x:c r="AO148" s="76" t="b">
        <x:v>0</x:v>
      </x:c>
      <x:c r="AP148"/>
      <x:c r="AQ148" t="str">
        <x:v>griid jackson 60 mw bitcoin mining project</x:v>
      </x:c>
      <x:c r="AR148"/>
    </x:row>
    <x:row r="149">
      <x:c r="A149" t="str">
        <x:v>atmosphere-dc.com</x:v>
      </x:c>
      <x:c r="B149" t="str">
        <x:v>verification:tncand-006:01</x:v>
      </x:c>
      <x:c r="C149" t="str">
        <x:v>Atmosphere Nashville 120 MW Campus</x:v>
      </x:c>
      <x:c r="D149"/>
      <x:c r="E149"/>
      <x:c r="F149"/>
      <x:c r="G149"/>
      <x:c r="H149"/>
      <x:c r="I149" t="str">
        <x:v>Nashville</x:v>
      </x:c>
      <x:c r="J149"/>
      <x:c r="K149" t="str">
        <x:v>TN</x:v>
      </x:c>
      <x:c r="L149"/>
      <x:c r="M149"/>
      <x:c r="N149"/>
      <x:c r="O149" t="str">
        <x:v>area_or_city</x:v>
      </x:c>
      <x:c r="P149" t="str">
        <x:v>low</x:v>
      </x:c>
      <x:c r="Q149" t="str">
        <x:v>Public-source verification; unknown coordinates were not inferred.</x:v>
      </x:c>
      <x:c r="R149"/>
      <x:c r="S149" t="str">
        <x:v>proposed</x:v>
      </x:c>
      <x:c r="T149" t="str">
        <x:v>proposed_data_center_campus</x:v>
      </x:c>
      <x:c r="U149"/>
      <x:c r="V149"/>
      <x:c r="W149"/>
      <x:c r="X149"/>
      <x:c r="Y149"/>
      <x:c r="Z149"/>
      <x:c r="AA149"/>
      <x:c r="AB149"/>
      <x:c r="AC149"/>
      <x:c r="AD149"/>
      <x:c r="AE149"/>
      <x:c r="AF149"/>
      <x:c r="AG149"/>
      <x:c r="AH149"/>
      <x:c r="AI149" t="str">
        <x:v>2026-09-03</x:v>
      </x:c>
      <x:c r="AJ149" s="85" t="str">
        <x:v>https://atmosphere-dc.com/data-centers/nashville-tn/</x:v>
      </x:c>
      <x:c r="AK149" s="85" t="str">
        <x:v>https://atmosphere-dc.com/data-centers/nashville-tn/</x:v>
      </x:c>
      <x:c r="AL149" s="85" t="str">
        <x:v>https://atmosphere-dc.com/data-centers/nashville-tn/</x:v>
      </x:c>
      <x:c r="AM149" s="85" t="str">
        <x:v>Retain as candidate until a parcel/address or permitting record resolves the physical site.</x:v>
      </x:c>
      <x:c r="AN149" t="str">
        <x:v>candidate_site</x:v>
      </x:c>
      <x:c r="AO149" s="76" t="b">
        <x:v>0</x:v>
      </x:c>
      <x:c r="AP149"/>
      <x:c r="AQ149" t="str">
        <x:v>atmosphere nashville 120 mw campus</x:v>
      </x:c>
      <x:c r="AR149"/>
    </x:row>
    <x:row r="150">
      <x:c r="A150" t="str">
        <x:v>datacenterdynamics.com</x:v>
      </x:c>
      <x:c r="B150" t="str">
        <x:v>verification:tncand-006:02</x:v>
      </x:c>
      <x:c r="C150" t="str">
        <x:v>Atmosphere Nashville 120 MW Campus</x:v>
      </x:c>
      <x:c r="D150"/>
      <x:c r="E150"/>
      <x:c r="F150"/>
      <x:c r="G150"/>
      <x:c r="H150"/>
      <x:c r="I150" t="str">
        <x:v>Nashville</x:v>
      </x:c>
      <x:c r="J150"/>
      <x:c r="K150" t="str">
        <x:v>TN</x:v>
      </x:c>
      <x:c r="L150"/>
      <x:c r="M150"/>
      <x:c r="N150"/>
      <x:c r="O150" t="str">
        <x:v>area_or_city</x:v>
      </x:c>
      <x:c r="P150" t="str">
        <x:v>low</x:v>
      </x:c>
      <x:c r="Q150" t="str">
        <x:v>Public-source verification; unknown coordinates were not inferred.</x:v>
      </x:c>
      <x:c r="R150"/>
      <x:c r="S150" t="str">
        <x:v>proposed</x:v>
      </x:c>
      <x:c r="T150" t="str">
        <x:v>proposed_data_center_campus</x:v>
      </x:c>
      <x:c r="U150"/>
      <x:c r="V150"/>
      <x:c r="W150"/>
      <x:c r="X150"/>
      <x:c r="Y150"/>
      <x:c r="Z150"/>
      <x:c r="AA150"/>
      <x:c r="AB150"/>
      <x:c r="AC150"/>
      <x:c r="AD150"/>
      <x:c r="AE150"/>
      <x:c r="AF150"/>
      <x:c r="AG150"/>
      <x:c r="AH150"/>
      <x:c r="AI150" t="str">
        <x:v>2026-09-03</x:v>
      </x:c>
      <x:c r="AJ150" s="85" t="str">
        <x:v>https://www.datacenterdynamics.com/en/news/atmosphere-dc-secures-investment-from-agc-equity-partners/</x:v>
      </x:c>
      <x:c r="AK150" s="85" t="str">
        <x:v>https://www.datacenterdynamics.com/en/news/atmosphere-dc-secures-investment-from-agc-equity-partners/</x:v>
      </x:c>
      <x:c r="AL150" s="85" t="str">
        <x:v>https://www.datacenterdynamics.com/en/news/atmosphere-dc-secures-investment-from-agc-equity-partners/</x:v>
      </x:c>
      <x:c r="AM150" s="85" t="str">
        <x:v>Retain as candidate until a parcel/address or permitting record resolves the physical site.</x:v>
      </x:c>
      <x:c r="AN150" t="str">
        <x:v>candidate_site</x:v>
      </x:c>
      <x:c r="AO150" s="76" t="b">
        <x:v>0</x:v>
      </x:c>
      <x:c r="AP150"/>
      <x:c r="AQ150" t="str">
        <x:v>atmosphere nashville 120 mw campus</x:v>
      </x:c>
      <x:c r="AR150"/>
    </x:row>
    <x:row r="151">
      <x:c r="A151" t="str">
        <x:v>tn.gov</x:v>
      </x:c>
      <x:c r="B151" t="str">
        <x:v>verification:tncand-007:01</x:v>
      </x:c>
      <x:c r="C151" t="str">
        <x:v>Tennessee State Data Center South</x:v>
      </x:c>
      <x:c r="D151"/>
      <x:c r="E151"/>
      <x:c r="F151"/>
      <x:c r="G151"/>
      <x:c r="H151"/>
      <x:c r="I151" t="str">
        <x:v>Smyrna</x:v>
      </x:c>
      <x:c r="J151" t="str">
        <x:v>Rutherford</x:v>
      </x:c>
      <x:c r="K151" t="str">
        <x:v>TN</x:v>
      </x:c>
      <x:c r="L151"/>
      <x:c r="M151"/>
      <x:c r="N151"/>
      <x:c r="O151" t="str">
        <x:v>area_or_city</x:v>
      </x:c>
      <x:c r="P151" t="str">
        <x:v>medium</x:v>
      </x:c>
      <x:c r="Q151" t="str">
        <x:v>Public-source verification; unknown coordinates were not inferred.</x:v>
      </x:c>
      <x:c r="R151"/>
      <x:c r="S151" t="str">
        <x:v>operational</x:v>
      </x:c>
      <x:c r="T151" t="str">
        <x:v>operational_government_data_center</x:v>
      </x:c>
      <x:c r="U151"/>
      <x:c r="V151"/>
      <x:c r="W151"/>
      <x:c r="X151"/>
      <x:c r="Y151"/>
      <x:c r="Z151"/>
      <x:c r="AA151"/>
      <x:c r="AB151"/>
      <x:c r="AC151"/>
      <x:c r="AD151"/>
      <x:c r="AE151"/>
      <x:c r="AF151"/>
      <x:c r="AG151"/>
      <x:c r="AH151"/>
      <x:c r="AI151" t="str">
        <x:v>2026-09-03</x:v>
      </x:c>
      <x:c r="AJ151" s="85" t="str">
        <x:v>https://www.tn.gov/environment/policy/data-centers.html</x:v>
      </x:c>
      <x:c r="AK151" s="85" t="str">
        <x:v>https://www.tn.gov/environment/policy/data-centers.html</x:v>
      </x:c>
      <x:c r="AL151" s="85" t="str">
        <x:v>https://www.tn.gov/environment/policy/data-centers.html</x:v>
      </x:c>
      <x:c r="AM151" s="85" t="str">
        <x:v>Confirmed institutional facility, but exact address is not public; keep in Candidate until facility-level location can be normalized.</x:v>
      </x:c>
      <x:c r="AN151" t="str">
        <x:v>candidate_site</x:v>
      </x:c>
      <x:c r="AO151" s="76" t="b">
        <x:v>0</x:v>
      </x:c>
      <x:c r="AP151"/>
      <x:c r="AQ151" t="str">
        <x:v>tennessee state data center south</x:v>
      </x:c>
      <x:c r="AR151"/>
    </x:row>
    <x:row r="152">
      <x:c r="A152" t="str">
        <x:v>tn.gov</x:v>
      </x:c>
      <x:c r="B152" t="str">
        <x:v>verification:tncand-007:02</x:v>
      </x:c>
      <x:c r="C152" t="str">
        <x:v>Tennessee State Data Center South</x:v>
      </x:c>
      <x:c r="D152"/>
      <x:c r="E152"/>
      <x:c r="F152"/>
      <x:c r="G152"/>
      <x:c r="H152"/>
      <x:c r="I152" t="str">
        <x:v>Smyrna</x:v>
      </x:c>
      <x:c r="J152" t="str">
        <x:v>Rutherford</x:v>
      </x:c>
      <x:c r="K152" t="str">
        <x:v>TN</x:v>
      </x:c>
      <x:c r="L152"/>
      <x:c r="M152"/>
      <x:c r="N152"/>
      <x:c r="O152" t="str">
        <x:v>area_or_city</x:v>
      </x:c>
      <x:c r="P152" t="str">
        <x:v>medium</x:v>
      </x:c>
      <x:c r="Q152" t="str">
        <x:v>Public-source verification; unknown coordinates were not inferred.</x:v>
      </x:c>
      <x:c r="R152"/>
      <x:c r="S152" t="str">
        <x:v>operational</x:v>
      </x:c>
      <x:c r="T152" t="str">
        <x:v>operational_government_data_center</x:v>
      </x:c>
      <x:c r="U152"/>
      <x:c r="V152"/>
      <x:c r="W152"/>
      <x:c r="X152"/>
      <x:c r="Y152"/>
      <x:c r="Z152"/>
      <x:c r="AA152"/>
      <x:c r="AB152"/>
      <x:c r="AC152"/>
      <x:c r="AD152"/>
      <x:c r="AE152"/>
      <x:c r="AF152"/>
      <x:c r="AG152"/>
      <x:c r="AH152"/>
      <x:c r="AI152" t="str">
        <x:v>2026-09-03</x:v>
      </x:c>
      <x:c r="AJ152" s="85" t="str">
        <x:v>https://www.tn.gov/cybersecurity/state-government-cybersecurity.html</x:v>
      </x:c>
      <x:c r="AK152" s="85" t="str">
        <x:v>https://www.tn.gov/cybersecurity/state-government-cybersecurity.html</x:v>
      </x:c>
      <x:c r="AL152" s="85" t="str">
        <x:v>https://www.tn.gov/cybersecurity/state-government-cybersecurity.html</x:v>
      </x:c>
      <x:c r="AM152" s="85" t="str">
        <x:v>Confirmed institutional facility, but exact address is not public; keep in Candidate until facility-level location can be normalized.</x:v>
      </x:c>
      <x:c r="AN152" t="str">
        <x:v>candidate_site</x:v>
      </x:c>
      <x:c r="AO152" s="76" t="b">
        <x:v>0</x:v>
      </x:c>
      <x:c r="AP152"/>
      <x:c r="AQ152" t="str">
        <x:v>tennessee state data center south</x:v>
      </x:c>
      <x:c r="AR152"/>
    </x:row>
    <x:row r="153">
      <x:c r="A153" t="str">
        <x:v>tn.gov</x:v>
      </x:c>
      <x:c r="B153" t="str">
        <x:v>verification:tncand-007:03</x:v>
      </x:c>
      <x:c r="C153" t="str">
        <x:v>Tennessee State Data Center South</x:v>
      </x:c>
      <x:c r="D153"/>
      <x:c r="E153"/>
      <x:c r="F153"/>
      <x:c r="G153"/>
      <x:c r="H153"/>
      <x:c r="I153" t="str">
        <x:v>Smyrna</x:v>
      </x:c>
      <x:c r="J153" t="str">
        <x:v>Rutherford</x:v>
      </x:c>
      <x:c r="K153" t="str">
        <x:v>TN</x:v>
      </x:c>
      <x:c r="L153"/>
      <x:c r="M153"/>
      <x:c r="N153"/>
      <x:c r="O153" t="str">
        <x:v>area_or_city</x:v>
      </x:c>
      <x:c r="P153" t="str">
        <x:v>medium</x:v>
      </x:c>
      <x:c r="Q153" t="str">
        <x:v>Public-source verification; unknown coordinates were not inferred.</x:v>
      </x:c>
      <x:c r="R153"/>
      <x:c r="S153" t="str">
        <x:v>operational</x:v>
      </x:c>
      <x:c r="T153" t="str">
        <x:v>operational_government_data_center</x:v>
      </x:c>
      <x:c r="U153"/>
      <x:c r="V153"/>
      <x:c r="W153"/>
      <x:c r="X153"/>
      <x:c r="Y153"/>
      <x:c r="Z153"/>
      <x:c r="AA153"/>
      <x:c r="AB153"/>
      <x:c r="AC153"/>
      <x:c r="AD153"/>
      <x:c r="AE153"/>
      <x:c r="AF153"/>
      <x:c r="AG153"/>
      <x:c r="AH153"/>
      <x:c r="AI153" t="str">
        <x:v>2026-09-03</x:v>
      </x:c>
      <x:c r="AJ153" s="85" t="str">
        <x:v>https://www.tn.gov/content/dam/tn/tenncare/documents2/Deloitte.pdf</x:v>
      </x:c>
      <x:c r="AK153" s="85" t="str">
        <x:v>https://www.tn.gov/content/dam/tn/tenncare/documents2/Deloitte.pdf</x:v>
      </x:c>
      <x:c r="AL153" s="85" t="str">
        <x:v>https://www.tn.gov/content/dam/tn/tenncare/documents2/Deloitte.pdf</x:v>
      </x:c>
      <x:c r="AM153" s="85" t="str">
        <x:v>Confirmed institutional facility, but exact address is not public; keep in Candidate until facility-level location can be normalized.</x:v>
      </x:c>
      <x:c r="AN153" t="str">
        <x:v>candidate_site</x:v>
      </x:c>
      <x:c r="AO153" s="76" t="b">
        <x:v>0</x:v>
      </x:c>
      <x:c r="AP153"/>
      <x:c r="AQ153" t="str">
        <x:v>tennessee state data center south</x:v>
      </x:c>
      <x:c r="AR153"/>
    </x:row>
    <x:row r="154">
      <x:c r="A154" t="str">
        <x:v>tn.gov</x:v>
      </x:c>
      <x:c r="B154" t="str">
        <x:v>verification:tncand-007:04</x:v>
      </x:c>
      <x:c r="C154" t="str">
        <x:v>Tennessee State Data Center South</x:v>
      </x:c>
      <x:c r="D154"/>
      <x:c r="E154"/>
      <x:c r="F154"/>
      <x:c r="G154"/>
      <x:c r="H154"/>
      <x:c r="I154" t="str">
        <x:v>Smyrna</x:v>
      </x:c>
      <x:c r="J154" t="str">
        <x:v>Rutherford</x:v>
      </x:c>
      <x:c r="K154" t="str">
        <x:v>TN</x:v>
      </x:c>
      <x:c r="L154"/>
      <x:c r="M154"/>
      <x:c r="N154"/>
      <x:c r="O154" t="str">
        <x:v>area_or_city</x:v>
      </x:c>
      <x:c r="P154" t="str">
        <x:v>medium</x:v>
      </x:c>
      <x:c r="Q154" t="str">
        <x:v>Public-source verification; unknown coordinates were not inferred.</x:v>
      </x:c>
      <x:c r="R154"/>
      <x:c r="S154" t="str">
        <x:v>operational</x:v>
      </x:c>
      <x:c r="T154" t="str">
        <x:v>operational_government_data_center</x:v>
      </x:c>
      <x:c r="U154"/>
      <x:c r="V154"/>
      <x:c r="W154"/>
      <x:c r="X154"/>
      <x:c r="Y154"/>
      <x:c r="Z154"/>
      <x:c r="AA154"/>
      <x:c r="AB154"/>
      <x:c r="AC154"/>
      <x:c r="AD154"/>
      <x:c r="AE154"/>
      <x:c r="AF154"/>
      <x:c r="AG154"/>
      <x:c r="AH154"/>
      <x:c r="AI154" t="str">
        <x:v>2026-09-03</x:v>
      </x:c>
      <x:c r="AJ154" s="85" t="str">
        <x:v>https://www.tn.gov/finance/sts.html</x:v>
      </x:c>
      <x:c r="AK154" s="85" t="str">
        <x:v>https://www.tn.gov/finance/sts.html</x:v>
      </x:c>
      <x:c r="AL154" s="85" t="str">
        <x:v>https://www.tn.gov/finance/sts.html</x:v>
      </x:c>
      <x:c r="AM154" s="85" t="str">
        <x:v>Confirmed institutional facility, but exact address is not public; keep in Candidate until facility-level location can be normalized.</x:v>
      </x:c>
      <x:c r="AN154" t="str">
        <x:v>candidate_site</x:v>
      </x:c>
      <x:c r="AO154" s="76" t="b">
        <x:v>0</x:v>
      </x:c>
      <x:c r="AP154"/>
      <x:c r="AQ154" t="str">
        <x:v>tennessee state data center south</x:v>
      </x:c>
      <x:c r="AR154"/>
    </x:row>
    <x:row r="155">
      <x:c r="A155" t="str">
        <x:v>tn.gov</x:v>
      </x:c>
      <x:c r="B155" t="str">
        <x:v>verification:tncand-008:01</x:v>
      </x:c>
      <x:c r="C155" t="str">
        <x:v>Tennessee State Data Center North</x:v>
      </x:c>
      <x:c r="D155"/>
      <x:c r="E155"/>
      <x:c r="F155"/>
      <x:c r="G155"/>
      <x:c r="H155"/>
      <x:c r="I155" t="str">
        <x:v>Nashville</x:v>
      </x:c>
      <x:c r="J155" t="str">
        <x:v>Davidson</x:v>
      </x:c>
      <x:c r="K155" t="str">
        <x:v>TN</x:v>
      </x:c>
      <x:c r="L155"/>
      <x:c r="M155"/>
      <x:c r="N155"/>
      <x:c r="O155" t="str">
        <x:v>area_or_city</x:v>
      </x:c>
      <x:c r="P155" t="str">
        <x:v>medium</x:v>
      </x:c>
      <x:c r="Q155" t="str">
        <x:v>Public-source verification; unknown coordinates were not inferred.</x:v>
      </x:c>
      <x:c r="R155"/>
      <x:c r="S155" t="str">
        <x:v>operational</x:v>
      </x:c>
      <x:c r="T155" t="str">
        <x:v>operational_government_data_center</x:v>
      </x:c>
      <x:c r="U155"/>
      <x:c r="V155"/>
      <x:c r="W155"/>
      <x:c r="X155"/>
      <x:c r="Y155"/>
      <x:c r="Z155"/>
      <x:c r="AA155"/>
      <x:c r="AB155"/>
      <x:c r="AC155"/>
      <x:c r="AD155"/>
      <x:c r="AE155"/>
      <x:c r="AF155"/>
      <x:c r="AG155"/>
      <x:c r="AH155"/>
      <x:c r="AI155" t="str">
        <x:v>2026-09-03</x:v>
      </x:c>
      <x:c r="AJ155" s="85" t="str">
        <x:v>https://www.tn.gov/environment/policy/data-centers.html</x:v>
      </x:c>
      <x:c r="AK155" s="85" t="str">
        <x:v>https://www.tn.gov/environment/policy/data-centers.html</x:v>
      </x:c>
      <x:c r="AL155" s="85" t="str">
        <x:v>https://www.tn.gov/environment/policy/data-centers.html</x:v>
      </x:c>
      <x:c r="AM155" s="85" t="str">
        <x:v>Confirmed institutional facility, but exact address is not public; keep in Candidate until facility-level location can be normalized.</x:v>
      </x:c>
      <x:c r="AN155" t="str">
        <x:v>candidate_site</x:v>
      </x:c>
      <x:c r="AO155" s="76" t="b">
        <x:v>0</x:v>
      </x:c>
      <x:c r="AP155"/>
      <x:c r="AQ155" t="str">
        <x:v>tennessee state data center north</x:v>
      </x:c>
      <x:c r="AR155"/>
    </x:row>
    <x:row r="156">
      <x:c r="A156" t="str">
        <x:v>tn.gov</x:v>
      </x:c>
      <x:c r="B156" t="str">
        <x:v>verification:tncand-008:02</x:v>
      </x:c>
      <x:c r="C156" t="str">
        <x:v>Tennessee State Data Center North</x:v>
      </x:c>
      <x:c r="D156"/>
      <x:c r="E156"/>
      <x:c r="F156"/>
      <x:c r="G156"/>
      <x:c r="H156"/>
      <x:c r="I156" t="str">
        <x:v>Nashville</x:v>
      </x:c>
      <x:c r="J156" t="str">
        <x:v>Davidson</x:v>
      </x:c>
      <x:c r="K156" t="str">
        <x:v>TN</x:v>
      </x:c>
      <x:c r="L156"/>
      <x:c r="M156"/>
      <x:c r="N156"/>
      <x:c r="O156" t="str">
        <x:v>area_or_city</x:v>
      </x:c>
      <x:c r="P156" t="str">
        <x:v>medium</x:v>
      </x:c>
      <x:c r="Q156" t="str">
        <x:v>Public-source verification; unknown coordinates were not inferred.</x:v>
      </x:c>
      <x:c r="R156"/>
      <x:c r="S156" t="str">
        <x:v>operational</x:v>
      </x:c>
      <x:c r="T156" t="str">
        <x:v>operational_government_data_center</x:v>
      </x:c>
      <x:c r="U156"/>
      <x:c r="V156"/>
      <x:c r="W156"/>
      <x:c r="X156"/>
      <x:c r="Y156"/>
      <x:c r="Z156"/>
      <x:c r="AA156"/>
      <x:c r="AB156"/>
      <x:c r="AC156"/>
      <x:c r="AD156"/>
      <x:c r="AE156"/>
      <x:c r="AF156"/>
      <x:c r="AG156"/>
      <x:c r="AH156"/>
      <x:c r="AI156" t="str">
        <x:v>2026-09-03</x:v>
      </x:c>
      <x:c r="AJ156" s="85" t="str">
        <x:v>https://www.tn.gov/cybersecurity/state-government-cybersecurity.html</x:v>
      </x:c>
      <x:c r="AK156" s="85" t="str">
        <x:v>https://www.tn.gov/cybersecurity/state-government-cybersecurity.html</x:v>
      </x:c>
      <x:c r="AL156" s="85" t="str">
        <x:v>https://www.tn.gov/cybersecurity/state-government-cybersecurity.html</x:v>
      </x:c>
      <x:c r="AM156" s="85" t="str">
        <x:v>Confirmed institutional facility, but exact address is not public; keep in Candidate until facility-level location can be normalized.</x:v>
      </x:c>
      <x:c r="AN156" t="str">
        <x:v>candidate_site</x:v>
      </x:c>
      <x:c r="AO156" s="76" t="b">
        <x:v>0</x:v>
      </x:c>
      <x:c r="AP156"/>
      <x:c r="AQ156" t="str">
        <x:v>tennessee state data center north</x:v>
      </x:c>
      <x:c r="AR156"/>
    </x:row>
    <x:row r="157">
      <x:c r="A157" t="str">
        <x:v>tn.gov</x:v>
      </x:c>
      <x:c r="B157" t="str">
        <x:v>verification:tncand-008:03</x:v>
      </x:c>
      <x:c r="C157" t="str">
        <x:v>Tennessee State Data Center North</x:v>
      </x:c>
      <x:c r="D157"/>
      <x:c r="E157"/>
      <x:c r="F157"/>
      <x:c r="G157"/>
      <x:c r="H157"/>
      <x:c r="I157" t="str">
        <x:v>Nashville</x:v>
      </x:c>
      <x:c r="J157" t="str">
        <x:v>Davidson</x:v>
      </x:c>
      <x:c r="K157" t="str">
        <x:v>TN</x:v>
      </x:c>
      <x:c r="L157"/>
      <x:c r="M157"/>
      <x:c r="N157"/>
      <x:c r="O157" t="str">
        <x:v>area_or_city</x:v>
      </x:c>
      <x:c r="P157" t="str">
        <x:v>medium</x:v>
      </x:c>
      <x:c r="Q157" t="str">
        <x:v>Public-source verification; unknown coordinates were not inferred.</x:v>
      </x:c>
      <x:c r="R157"/>
      <x:c r="S157" t="str">
        <x:v>operational</x:v>
      </x:c>
      <x:c r="T157" t="str">
        <x:v>operational_government_data_center</x:v>
      </x:c>
      <x:c r="U157"/>
      <x:c r="V157"/>
      <x:c r="W157"/>
      <x:c r="X157"/>
      <x:c r="Y157"/>
      <x:c r="Z157"/>
      <x:c r="AA157"/>
      <x:c r="AB157"/>
      <x:c r="AC157"/>
      <x:c r="AD157"/>
      <x:c r="AE157"/>
      <x:c r="AF157"/>
      <x:c r="AG157"/>
      <x:c r="AH157"/>
      <x:c r="AI157" t="str">
        <x:v>2026-09-03</x:v>
      </x:c>
      <x:c r="AJ157" s="85" t="str">
        <x:v>https://www.tn.gov/content/dam/tn/tenncare/documents2/Deloitte.pdf</x:v>
      </x:c>
      <x:c r="AK157" s="85" t="str">
        <x:v>https://www.tn.gov/content/dam/tn/tenncare/documents2/Deloitte.pdf</x:v>
      </x:c>
      <x:c r="AL157" s="85" t="str">
        <x:v>https://www.tn.gov/content/dam/tn/tenncare/documents2/Deloitte.pdf</x:v>
      </x:c>
      <x:c r="AM157" s="85" t="str">
        <x:v>Confirmed institutional facility, but exact address is not public; keep in Candidate until facility-level location can be normalized.</x:v>
      </x:c>
      <x:c r="AN157" t="str">
        <x:v>candidate_site</x:v>
      </x:c>
      <x:c r="AO157" s="76" t="b">
        <x:v>0</x:v>
      </x:c>
      <x:c r="AP157"/>
      <x:c r="AQ157" t="str">
        <x:v>tennessee state data center north</x:v>
      </x:c>
      <x:c r="AR157"/>
    </x:row>
    <x:row r="158">
      <x:c r="A158" t="str">
        <x:v>tn.gov</x:v>
      </x:c>
      <x:c r="B158" t="str">
        <x:v>verification:tncand-008:04</x:v>
      </x:c>
      <x:c r="C158" t="str">
        <x:v>Tennessee State Data Center North</x:v>
      </x:c>
      <x:c r="D158"/>
      <x:c r="E158"/>
      <x:c r="F158"/>
      <x:c r="G158"/>
      <x:c r="H158"/>
      <x:c r="I158" t="str">
        <x:v>Nashville</x:v>
      </x:c>
      <x:c r="J158" t="str">
        <x:v>Davidson</x:v>
      </x:c>
      <x:c r="K158" t="str">
        <x:v>TN</x:v>
      </x:c>
      <x:c r="L158"/>
      <x:c r="M158"/>
      <x:c r="N158"/>
      <x:c r="O158" t="str">
        <x:v>area_or_city</x:v>
      </x:c>
      <x:c r="P158" t="str">
        <x:v>medium</x:v>
      </x:c>
      <x:c r="Q158" t="str">
        <x:v>Public-source verification; unknown coordinates were not inferred.</x:v>
      </x:c>
      <x:c r="R158"/>
      <x:c r="S158" t="str">
        <x:v>operational</x:v>
      </x:c>
      <x:c r="T158" t="str">
        <x:v>operational_government_data_center</x:v>
      </x:c>
      <x:c r="U158"/>
      <x:c r="V158"/>
      <x:c r="W158"/>
      <x:c r="X158"/>
      <x:c r="Y158"/>
      <x:c r="Z158"/>
      <x:c r="AA158"/>
      <x:c r="AB158"/>
      <x:c r="AC158"/>
      <x:c r="AD158"/>
      <x:c r="AE158"/>
      <x:c r="AF158"/>
      <x:c r="AG158"/>
      <x:c r="AH158"/>
      <x:c r="AI158" t="str">
        <x:v>2026-09-03</x:v>
      </x:c>
      <x:c r="AJ158" s="85" t="str">
        <x:v>https://www.tn.gov/finance/sts.html</x:v>
      </x:c>
      <x:c r="AK158" s="85" t="str">
        <x:v>https://www.tn.gov/finance/sts.html</x:v>
      </x:c>
      <x:c r="AL158" s="85" t="str">
        <x:v>https://www.tn.gov/finance/sts.html</x:v>
      </x:c>
      <x:c r="AM158" s="85" t="str">
        <x:v>Confirmed institutional facility, but exact address is not public; keep in Candidate until facility-level location can be normalized.</x:v>
      </x:c>
      <x:c r="AN158" t="str">
        <x:v>candidate_site</x:v>
      </x:c>
      <x:c r="AO158" s="76" t="b">
        <x:v>0</x:v>
      </x:c>
      <x:c r="AP158"/>
      <x:c r="AQ158" t="str">
        <x:v>tennessee state data center north</x:v>
      </x:c>
      <x:c r="AR158"/>
    </x:row>
    <x:row r="159">
      <x:c r="A159" t="str">
        <x:v>olcf.ornl.gov</x:v>
      </x:c>
      <x:c r="B159" t="str">
        <x:v>verification:tncand-009:01</x:v>
      </x:c>
      <x:c r="C159" t="str">
        <x:v>Oak Ridge Leadership Computing Facility</x:v>
      </x:c>
      <x:c r="D159"/>
      <x:c r="E159"/>
      <x:c r="F159"/>
      <x:c r="G159" t="str">
        <x:v>One Bethel Valley Rd</x:v>
      </x:c>
      <x:c r="H159"/>
      <x:c r="I159" t="str">
        <x:v>Oak Ridge</x:v>
      </x:c>
      <x:c r="J159"/>
      <x:c r="K159" t="str">
        <x:v>TN</x:v>
      </x:c>
      <x:c r="L159" t="str">
        <x:v>37830</x:v>
      </x:c>
      <x:c r="M159"/>
      <x:c r="N159"/>
      <x:c r="O159" t="str">
        <x:v>campus</x:v>
      </x:c>
      <x:c r="P159" t="str">
        <x:v>medium</x:v>
      </x:c>
      <x:c r="Q159" t="str">
        <x:v>Public-source verification; unknown coordinates were not inferred.</x:v>
      </x:c>
      <x:c r="R159"/>
      <x:c r="S159" t="str">
        <x:v>operational</x:v>
      </x:c>
      <x:c r="T159" t="str">
        <x:v>operational_research_computing_facility</x:v>
      </x:c>
      <x:c r="U159"/>
      <x:c r="V159"/>
      <x:c r="W159"/>
      <x:c r="X159"/>
      <x:c r="Y159"/>
      <x:c r="Z159"/>
      <x:c r="AA159"/>
      <x:c r="AB159"/>
      <x:c r="AC159"/>
      <x:c r="AD159"/>
      <x:c r="AE159"/>
      <x:c r="AF159"/>
      <x:c r="AG159"/>
      <x:c r="AH159"/>
      <x:c r="AI159" t="str">
        <x:v>2026-09-03</x:v>
      </x:c>
      <x:c r="AJ159" s="85" t="str">
        <x:v>https://www.olcf.ornl.gov/contact-us/</x:v>
      </x:c>
      <x:c r="AK159" s="85" t="str">
        <x:v>https://www.olcf.ornl.gov/contact-us/</x:v>
      </x:c>
      <x:c r="AL159" s="85" t="str">
        <x:v>https://www.olcf.ornl.gov/contact-us/</x:v>
      </x:c>
      <x:c r="AM159" s="85" t="str">
        <x:v>Institutional research-computing scope; retain as candidate until the dataset owner confirms inclusion and a physical facility boundary.</x:v>
      </x:c>
      <x:c r="AN159" t="str">
        <x:v>candidate_site</x:v>
      </x:c>
      <x:c r="AO159" s="76" t="b">
        <x:v>0</x:v>
      </x:c>
      <x:c r="AP159"/>
      <x:c r="AQ159" t="str">
        <x:v>oak ridge leadership computing facility</x:v>
      </x:c>
      <x:c r="AR159" t="str">
        <x:v>one bethel valley rd</x:v>
      </x:c>
    </x:row>
    <x:row r="160">
      <x:c r="A160" t="str">
        <x:v>olcf.ornl.gov</x:v>
      </x:c>
      <x:c r="B160" t="str">
        <x:v>verification:tncand-009:02</x:v>
      </x:c>
      <x:c r="C160" t="str">
        <x:v>Oak Ridge Leadership Computing Facility</x:v>
      </x:c>
      <x:c r="D160"/>
      <x:c r="E160"/>
      <x:c r="F160"/>
      <x:c r="G160" t="str">
        <x:v>One Bethel Valley Rd</x:v>
      </x:c>
      <x:c r="H160"/>
      <x:c r="I160" t="str">
        <x:v>Oak Ridge</x:v>
      </x:c>
      <x:c r="J160"/>
      <x:c r="K160" t="str">
        <x:v>TN</x:v>
      </x:c>
      <x:c r="L160" t="str">
        <x:v>37830</x:v>
      </x:c>
      <x:c r="M160"/>
      <x:c r="N160"/>
      <x:c r="O160" t="str">
        <x:v>campus</x:v>
      </x:c>
      <x:c r="P160" t="str">
        <x:v>medium</x:v>
      </x:c>
      <x:c r="Q160" t="str">
        <x:v>Public-source verification; unknown coordinates were not inferred.</x:v>
      </x:c>
      <x:c r="R160"/>
      <x:c r="S160" t="str">
        <x:v>operational</x:v>
      </x:c>
      <x:c r="T160" t="str">
        <x:v>operational_research_computing_facility</x:v>
      </x:c>
      <x:c r="U160"/>
      <x:c r="V160"/>
      <x:c r="W160"/>
      <x:c r="X160"/>
      <x:c r="Y160"/>
      <x:c r="Z160"/>
      <x:c r="AA160"/>
      <x:c r="AB160"/>
      <x:c r="AC160"/>
      <x:c r="AD160"/>
      <x:c r="AE160"/>
      <x:c r="AF160"/>
      <x:c r="AG160"/>
      <x:c r="AH160"/>
      <x:c r="AI160" t="str">
        <x:v>2026-09-03</x:v>
      </x:c>
      <x:c r="AJ160" s="85" t="str">
        <x:v>https://www.olcf.ornl.gov/2020/12/14/building-an-exascale-class-data-center/</x:v>
      </x:c>
      <x:c r="AK160" s="85" t="str">
        <x:v>https://www.olcf.ornl.gov/2020/12/14/building-an-exascale-class-data-center/</x:v>
      </x:c>
      <x:c r="AL160" s="85" t="str">
        <x:v>https://www.olcf.ornl.gov/2020/12/14/building-an-exascale-class-data-center/</x:v>
      </x:c>
      <x:c r="AM160" s="85" t="str">
        <x:v>Institutional research-computing scope; retain as candidate until the dataset owner confirms inclusion and a physical facility boundary.</x:v>
      </x:c>
      <x:c r="AN160" t="str">
        <x:v>candidate_site</x:v>
      </x:c>
      <x:c r="AO160" s="76" t="b">
        <x:v>0</x:v>
      </x:c>
      <x:c r="AP160"/>
      <x:c r="AQ160" t="str">
        <x:v>oak ridge leadership computing facility</x:v>
      </x:c>
      <x:c r="AR160" t="str">
        <x:v>one bethel valley rd</x:v>
      </x:c>
    </x:row>
    <x:row r="161">
      <x:c r="A161" t="str">
        <x:v>ornl.gov</x:v>
      </x:c>
      <x:c r="B161" t="str">
        <x:v>verification:tncand-009:03</x:v>
      </x:c>
      <x:c r="C161" t="str">
        <x:v>Oak Ridge Leadership Computing Facility</x:v>
      </x:c>
      <x:c r="D161"/>
      <x:c r="E161"/>
      <x:c r="F161"/>
      <x:c r="G161" t="str">
        <x:v>One Bethel Valley Rd</x:v>
      </x:c>
      <x:c r="H161"/>
      <x:c r="I161" t="str">
        <x:v>Oak Ridge</x:v>
      </x:c>
      <x:c r="J161"/>
      <x:c r="K161" t="str">
        <x:v>TN</x:v>
      </x:c>
      <x:c r="L161" t="str">
        <x:v>37830</x:v>
      </x:c>
      <x:c r="M161"/>
      <x:c r="N161"/>
      <x:c r="O161" t="str">
        <x:v>campus</x:v>
      </x:c>
      <x:c r="P161" t="str">
        <x:v>medium</x:v>
      </x:c>
      <x:c r="Q161" t="str">
        <x:v>Public-source verification; unknown coordinates were not inferred.</x:v>
      </x:c>
      <x:c r="R161"/>
      <x:c r="S161" t="str">
        <x:v>operational</x:v>
      </x:c>
      <x:c r="T161" t="str">
        <x:v>operational_research_computing_facility</x:v>
      </x:c>
      <x:c r="U161"/>
      <x:c r="V161"/>
      <x:c r="W161"/>
      <x:c r="X161"/>
      <x:c r="Y161"/>
      <x:c r="Z161"/>
      <x:c r="AA161"/>
      <x:c r="AB161"/>
      <x:c r="AC161"/>
      <x:c r="AD161"/>
      <x:c r="AE161"/>
      <x:c r="AF161"/>
      <x:c r="AG161"/>
      <x:c r="AH161"/>
      <x:c r="AI161" t="str">
        <x:v>2026-09-03</x:v>
      </x:c>
      <x:c r="AJ161" s="85" t="str">
        <x:v>https://www.ornl.gov/directorate/ccsd</x:v>
      </x:c>
      <x:c r="AK161" s="85" t="str">
        <x:v>https://www.ornl.gov/directorate/ccsd</x:v>
      </x:c>
      <x:c r="AL161" s="85" t="str">
        <x:v>https://www.ornl.gov/directorate/ccsd</x:v>
      </x:c>
      <x:c r="AM161" s="85" t="str">
        <x:v>Institutional research-computing scope; retain as candidate until the dataset owner confirms inclusion and a physical facility boundary.</x:v>
      </x:c>
      <x:c r="AN161" t="str">
        <x:v>candidate_site</x:v>
      </x:c>
      <x:c r="AO161" s="76" t="b">
        <x:v>0</x:v>
      </x:c>
      <x:c r="AP161"/>
      <x:c r="AQ161" t="str">
        <x:v>oak ridge leadership computing facility</x:v>
      </x:c>
      <x:c r="AR161" t="str">
        <x:v>one bethel valley rd</x:v>
      </x:c>
    </x:row>
    <x:row r="162">
      <x:c r="A162" t="str">
        <x:v>nics.utk.edu</x:v>
      </x:c>
      <x:c r="B162" t="str">
        <x:v>verification:tncand-010:01</x:v>
      </x:c>
      <x:c r="C162" t="str">
        <x:v>National Institute for Computational Sciences Facility</x:v>
      </x:c>
      <x:c r="D162"/>
      <x:c r="E162"/>
      <x:c r="F162"/>
      <x:c r="G162"/>
      <x:c r="H162"/>
      <x:c r="I162" t="str">
        <x:v>Oak Ridge</x:v>
      </x:c>
      <x:c r="J162"/>
      <x:c r="K162" t="str">
        <x:v>TN</x:v>
      </x:c>
      <x:c r="L162"/>
      <x:c r="M162"/>
      <x:c r="N162"/>
      <x:c r="O162" t="str">
        <x:v>campus</x:v>
      </x:c>
      <x:c r="P162" t="str">
        <x:v>medium</x:v>
      </x:c>
      <x:c r="Q162" t="str">
        <x:v>Public-source verification; unknown coordinates were not inferred.</x:v>
      </x:c>
      <x:c r="R162"/>
      <x:c r="S162" t="str">
        <x:v>operational</x:v>
      </x:c>
      <x:c r="T162" t="str">
        <x:v>operational_research_computing_facility</x:v>
      </x:c>
      <x:c r="U162"/>
      <x:c r="V162"/>
      <x:c r="W162"/>
      <x:c r="X162"/>
      <x:c r="Y162"/>
      <x:c r="Z162"/>
      <x:c r="AA162"/>
      <x:c r="AB162"/>
      <x:c r="AC162"/>
      <x:c r="AD162"/>
      <x:c r="AE162"/>
      <x:c r="AF162"/>
      <x:c r="AG162"/>
      <x:c r="AH162"/>
      <x:c r="AI162" t="str">
        <x:v>2026-09-03</x:v>
      </x:c>
      <x:c r="AJ162" s="85" t="str">
        <x:v>https://nics.utk.edu/facilities/</x:v>
      </x:c>
      <x:c r="AK162" s="85" t="str">
        <x:v>https://nics.utk.edu/facilities/</x:v>
      </x:c>
      <x:c r="AL162" s="85" t="str">
        <x:v>https://nics.utk.edu/facilities/</x:v>
      </x:c>
      <x:c r="AM162" s="85" t="str">
        <x:v>Institutional research-computing scope; retain as candidate pending inclusion decision and precise facility normalization.</x:v>
      </x:c>
      <x:c r="AN162" t="str">
        <x:v>candidate_site</x:v>
      </x:c>
      <x:c r="AO162" s="76" t="b">
        <x:v>0</x:v>
      </x:c>
      <x:c r="AP162"/>
      <x:c r="AQ162" t="str">
        <x:v>national institute for computational sciences facility</x:v>
      </x:c>
      <x:c r="AR162"/>
    </x:row>
    <x:row r="163">
      <x:c r="A163" t="str">
        <x:v>vanderbilt.edu</x:v>
      </x:c>
      <x:c r="B163" t="str">
        <x:v>verification:tncand-011:01</x:v>
      </x:c>
      <x:c r="C163" t="str">
        <x:v>Vanderbilt ACCRE Data Center Rooms</x:v>
      </x:c>
      <x:c r="D163"/>
      <x:c r="E163"/>
      <x:c r="F163"/>
      <x:c r="G163"/>
      <x:c r="H163"/>
      <x:c r="I163" t="str">
        <x:v>Nashville</x:v>
      </x:c>
      <x:c r="J163" t="str">
        <x:v>Davidson</x:v>
      </x:c>
      <x:c r="K163" t="str">
        <x:v>TN</x:v>
      </x:c>
      <x:c r="L163"/>
      <x:c r="M163"/>
      <x:c r="N163"/>
      <x:c r="O163" t="str">
        <x:v>area_or_city</x:v>
      </x:c>
      <x:c r="P163" t="str">
        <x:v>low</x:v>
      </x:c>
      <x:c r="Q163" t="str">
        <x:v>Public-source verification; unknown coordinates were not inferred.</x:v>
      </x:c>
      <x:c r="R163"/>
      <x:c r="S163" t="str">
        <x:v>operational</x:v>
      </x:c>
      <x:c r="T163" t="str">
        <x:v>operational_research_computing_facility</x:v>
      </x:c>
      <x:c r="U163"/>
      <x:c r="V163"/>
      <x:c r="W163"/>
      <x:c r="X163"/>
      <x:c r="Y163"/>
      <x:c r="Z163"/>
      <x:c r="AA163"/>
      <x:c r="AB163"/>
      <x:c r="AC163"/>
      <x:c r="AD163"/>
      <x:c r="AE163"/>
      <x:c r="AF163"/>
      <x:c r="AG163"/>
      <x:c r="AH163"/>
      <x:c r="AI163" t="str">
        <x:v>2026-09-03</x:v>
      </x:c>
      <x:c r="AJ163" s="85" t="str">
        <x:v>https://www.vanderbilt.edu/accre/location/</x:v>
      </x:c>
      <x:c r="AK163" s="85" t="str">
        <x:v>https://www.vanderbilt.edu/accre/location/</x:v>
      </x:c>
      <x:c r="AL163" s="85" t="str">
        <x:v>https://www.vanderbilt.edu/accre/location/</x:v>
      </x:c>
      <x:c r="AM163" s="85" t="str">
        <x:v>No single public physical facility address was identified; keep as candidate rather than fabricate a site coordinate.</x:v>
      </x:c>
      <x:c r="AN163" t="str">
        <x:v>candidate_site</x:v>
      </x:c>
      <x:c r="AO163" s="76" t="b">
        <x:v>0</x:v>
      </x:c>
      <x:c r="AP163"/>
      <x:c r="AQ163" t="str">
        <x:v>vanderbilt accre data center rooms</x:v>
      </x:c>
      <x:c r="AR163"/>
    </x:row>
    <x:row r="164">
      <x:c r="A164" t="str">
        <x:v>vanderbilt.edu</x:v>
      </x:c>
      <x:c r="B164" t="str">
        <x:v>verification:tncand-011:02</x:v>
      </x:c>
      <x:c r="C164" t="str">
        <x:v>Vanderbilt ACCRE Data Center Rooms</x:v>
      </x:c>
      <x:c r="D164"/>
      <x:c r="E164"/>
      <x:c r="F164"/>
      <x:c r="G164"/>
      <x:c r="H164"/>
      <x:c r="I164" t="str">
        <x:v>Nashville</x:v>
      </x:c>
      <x:c r="J164" t="str">
        <x:v>Davidson</x:v>
      </x:c>
      <x:c r="K164" t="str">
        <x:v>TN</x:v>
      </x:c>
      <x:c r="L164"/>
      <x:c r="M164"/>
      <x:c r="N164"/>
      <x:c r="O164" t="str">
        <x:v>area_or_city</x:v>
      </x:c>
      <x:c r="P164" t="str">
        <x:v>low</x:v>
      </x:c>
      <x:c r="Q164" t="str">
        <x:v>Public-source verification; unknown coordinates were not inferred.</x:v>
      </x:c>
      <x:c r="R164"/>
      <x:c r="S164" t="str">
        <x:v>operational</x:v>
      </x:c>
      <x:c r="T164" t="str">
        <x:v>operational_research_computing_facility</x:v>
      </x:c>
      <x:c r="U164"/>
      <x:c r="V164"/>
      <x:c r="W164"/>
      <x:c r="X164"/>
      <x:c r="Y164"/>
      <x:c r="Z164"/>
      <x:c r="AA164"/>
      <x:c r="AB164"/>
      <x:c r="AC164"/>
      <x:c r="AD164"/>
      <x:c r="AE164"/>
      <x:c r="AF164"/>
      <x:c r="AG164"/>
      <x:c r="AH164"/>
      <x:c r="AI164" t="str">
        <x:v>2026-09-03</x:v>
      </x:c>
      <x:c r="AJ164" s="85" t="str">
        <x:v>https://www.vanderbilt.edu/accre/technical-details/</x:v>
      </x:c>
      <x:c r="AK164" s="85" t="str">
        <x:v>https://www.vanderbilt.edu/accre/technical-details/</x:v>
      </x:c>
      <x:c r="AL164" s="85" t="str">
        <x:v>https://www.vanderbilt.edu/accre/technical-details/</x:v>
      </x:c>
      <x:c r="AM164" s="85" t="str">
        <x:v>No single public physical facility address was identified; keep as candidate rather than fabricate a site coordinate.</x:v>
      </x:c>
      <x:c r="AN164" t="str">
        <x:v>candidate_site</x:v>
      </x:c>
      <x:c r="AO164" s="76" t="b">
        <x:v>0</x:v>
      </x:c>
      <x:c r="AP164"/>
      <x:c r="AQ164" t="str">
        <x:v>vanderbilt accre data center rooms</x:v>
      </x:c>
      <x:c r="AR164"/>
    </x:row>
    <x:row r="165">
      <x:c r="A165" t="str">
        <x:v>datacentermap.com</x:v>
      </x:c>
      <x:c r="B165" t="str">
        <x:v>verification:tncand-012:01</x:v>
      </x:c>
      <x:c r="C165" t="str">
        <x:v>Scipio Technologies NREP Listing</x:v>
      </x:c>
      <x:c r="D165"/>
      <x:c r="E165"/>
      <x:c r="F165"/>
      <x:c r="G165"/>
      <x:c r="H165"/>
      <x:c r="I165" t="str">
        <x:v>Nashville</x:v>
      </x:c>
      <x:c r="J165" t="str">
        <x:v>Davidson</x:v>
      </x:c>
      <x:c r="K165" t="str">
        <x:v>TN</x:v>
      </x:c>
      <x:c r="L165" t="str">
        <x:v>37217</x:v>
      </x:c>
      <x:c r="M165"/>
      <x:c r="N165"/>
      <x:c r="O165" t="str">
        <x:v>area_or_city</x:v>
      </x:c>
      <x:c r="P165" t="str">
        <x:v>low</x:v>
      </x:c>
      <x:c r="Q165" t="str">
        <x:v>Public-source verification; unknown coordinates were not inferred.</x:v>
      </x:c>
      <x:c r="R165"/>
      <x:c r="S165" t="str">
        <x:v>operational</x:v>
      </x:c>
      <x:c r="T165" t="str">
        <x:v>unresolved_duplicate_or_new_facility</x:v>
      </x:c>
      <x:c r="U165"/>
      <x:c r="V165"/>
      <x:c r="W165"/>
      <x:c r="X165"/>
      <x:c r="Y165"/>
      <x:c r="Z165"/>
      <x:c r="AA165"/>
      <x:c r="AB165"/>
      <x:c r="AC165"/>
      <x:c r="AD165"/>
      <x:c r="AE165"/>
      <x:c r="AF165"/>
      <x:c r="AG165"/>
      <x:c r="AH165"/>
      <x:c r="AI165" t="str">
        <x:v>2026-09-03</x:v>
      </x:c>
      <x:c r="AJ165" s="85" t="str">
        <x:v>https://www.datacentermap.com/usa/tennessee/nashville/</x:v>
      </x:c>
      <x:c r="AK165" s="85" t="str">
        <x:v>https://www.datacentermap.com/usa/tennessee/nashville/</x:v>
      </x:c>
      <x:c r="AL165" s="85" t="str">
        <x:v>https://www.datacentermap.com/usa/tennessee/nashville/</x:v>
      </x:c>
      <x:c r="AM165" s="85" t="str">
        <x:v>Do not create a second Master site until an exact address confirms a distinct physical facility.</x:v>
      </x:c>
      <x:c r="AN165" t="str">
        <x:v>candidate_site</x:v>
      </x:c>
      <x:c r="AO165" s="76" t="b">
        <x:v>0</x:v>
      </x:c>
      <x:c r="AP165"/>
      <x:c r="AQ165" t="str">
        <x:v>scipio technologies nrep listing</x:v>
      </x:c>
      <x:c r="AR165"/>
    </x:row>
    <x:row r="166">
      <x:c r="A166" t="str">
        <x:v>scipiotech.com</x:v>
      </x:c>
      <x:c r="B166" t="str">
        <x:v>verification:tncand-012:02</x:v>
      </x:c>
      <x:c r="C166" t="str">
        <x:v>Scipio Technologies NREP Listing</x:v>
      </x:c>
      <x:c r="D166"/>
      <x:c r="E166"/>
      <x:c r="F166"/>
      <x:c r="G166"/>
      <x:c r="H166"/>
      <x:c r="I166" t="str">
        <x:v>Nashville</x:v>
      </x:c>
      <x:c r="J166" t="str">
        <x:v>Davidson</x:v>
      </x:c>
      <x:c r="K166" t="str">
        <x:v>TN</x:v>
      </x:c>
      <x:c r="L166" t="str">
        <x:v>37217</x:v>
      </x:c>
      <x:c r="M166"/>
      <x:c r="N166"/>
      <x:c r="O166" t="str">
        <x:v>area_or_city</x:v>
      </x:c>
      <x:c r="P166" t="str">
        <x:v>low</x:v>
      </x:c>
      <x:c r="Q166" t="str">
        <x:v>Public-source verification; unknown coordinates were not inferred.</x:v>
      </x:c>
      <x:c r="R166"/>
      <x:c r="S166" t="str">
        <x:v>operational</x:v>
      </x:c>
      <x:c r="T166" t="str">
        <x:v>unresolved_duplicate_or_new_facility</x:v>
      </x:c>
      <x:c r="U166"/>
      <x:c r="V166"/>
      <x:c r="W166"/>
      <x:c r="X166"/>
      <x:c r="Y166"/>
      <x:c r="Z166"/>
      <x:c r="AA166"/>
      <x:c r="AB166"/>
      <x:c r="AC166"/>
      <x:c r="AD166"/>
      <x:c r="AE166"/>
      <x:c r="AF166"/>
      <x:c r="AG166"/>
      <x:c r="AH166"/>
      <x:c r="AI166" t="str">
        <x:v>2026-09-03</x:v>
      </x:c>
      <x:c r="AJ166" s="85" t="str">
        <x:v>https://scipiotech.com/support/</x:v>
      </x:c>
      <x:c r="AK166" s="85" t="str">
        <x:v>https://scipiotech.com/support/</x:v>
      </x:c>
      <x:c r="AL166" s="85" t="str">
        <x:v>https://scipiotech.com/support/</x:v>
      </x:c>
      <x:c r="AM166" s="85" t="str">
        <x:v>Do not create a second Master site until an exact address confirms a distinct physical facility.</x:v>
      </x:c>
      <x:c r="AN166" t="str">
        <x:v>candidate_site</x:v>
      </x:c>
      <x:c r="AO166" s="76" t="b">
        <x:v>0</x:v>
      </x:c>
      <x:c r="AP166"/>
      <x:c r="AQ166" t="str">
        <x:v>scipio technologies nrep listing</x:v>
      </x:c>
      <x:c r="AR166"/>
    </x:row>
    <x:row r="167">
      <x:c r="A167" t="str">
        <x:v>dataprise.com</x:v>
      </x:c>
      <x:c r="B167" t="str">
        <x:v>verification:tncand-013:01</x:v>
      </x:c>
      <x:c r="C167" t="str">
        <x:v>Airnet / Dataprise Chattanooga</x:v>
      </x:c>
      <x:c r="D167"/>
      <x:c r="E167"/>
      <x:c r="F167"/>
      <x:c r="G167" t="str">
        <x:v>801 Broad Street</x:v>
      </x:c>
      <x:c r="H167"/>
      <x:c r="I167" t="str">
        <x:v>Chattanooga</x:v>
      </x:c>
      <x:c r="J167" t="str">
        <x:v>Hamilton</x:v>
      </x:c>
      <x:c r="K167" t="str">
        <x:v>TN</x:v>
      </x:c>
      <x:c r="L167" t="str">
        <x:v>37402</x:v>
      </x:c>
      <x:c r="M167"/>
      <x:c r="N167"/>
      <x:c r="O167" t="str">
        <x:v>address_or_site</x:v>
      </x:c>
      <x:c r="P167" t="str">
        <x:v>high</x:v>
      </x:c>
      <x:c r="Q167" t="str">
        <x:v>Public-source verification; unknown coordinates were not inferred.</x:v>
      </x:c>
      <x:c r="R167"/>
      <x:c r="S167" t="str">
        <x:v>operational</x:v>
      </x:c>
      <x:c r="T167" t="str">
        <x:v>legacy_operational_listing</x:v>
      </x:c>
      <x:c r="U167"/>
      <x:c r="V167"/>
      <x:c r="W167"/>
      <x:c r="X167"/>
      <x:c r="Y167"/>
      <x:c r="Z167"/>
      <x:c r="AA167"/>
      <x:c r="AB167"/>
      <x:c r="AC167"/>
      <x:c r="AD167"/>
      <x:c r="AE167"/>
      <x:c r="AF167"/>
      <x:c r="AG167"/>
      <x:c r="AH167"/>
      <x:c r="AI167" t="str">
        <x:v>2026-09-03</x:v>
      </x:c>
      <x:c r="AJ167" s="85" t="str">
        <x:v>https://www.dataprise.com/get-in-touch/location/chattanooga/</x:v>
      </x:c>
      <x:c r="AK167" s="85" t="str">
        <x:v>https://www.dataprise.com/get-in-touch/location/chattanooga/</x:v>
      </x:c>
      <x:c r="AL167" s="85" t="str">
        <x:v>https://www.dataprise.com/get-in-touch/location/chattanooga/</x:v>
      </x:c>
      <x:c r="AM167" s="85" t="str">
        <x:v>Confirm active colocation/data-center service before promotion to Master.</x:v>
      </x:c>
      <x:c r="AN167" t="str">
        <x:v>candidate_site</x:v>
      </x:c>
      <x:c r="AO167" s="76" t="b">
        <x:v>0</x:v>
      </x:c>
      <x:c r="AP167"/>
      <x:c r="AQ167" t="str">
        <x:v>airnet / dataprise chattanooga</x:v>
      </x:c>
      <x:c r="AR167" t="str">
        <x:v>801 broad street</x:v>
      </x:c>
    </x:row>
    <x:row r="168">
      <x:c r="A168" t="str">
        <x:v>datacentermap.com</x:v>
      </x:c>
      <x:c r="B168" t="str">
        <x:v>verification:tncand-013:02</x:v>
      </x:c>
      <x:c r="C168" t="str">
        <x:v>Airnet / Dataprise Chattanooga</x:v>
      </x:c>
      <x:c r="D168"/>
      <x:c r="E168"/>
      <x:c r="F168"/>
      <x:c r="G168" t="str">
        <x:v>801 Broad Street</x:v>
      </x:c>
      <x:c r="H168"/>
      <x:c r="I168" t="str">
        <x:v>Chattanooga</x:v>
      </x:c>
      <x:c r="J168" t="str">
        <x:v>Hamilton</x:v>
      </x:c>
      <x:c r="K168" t="str">
        <x:v>TN</x:v>
      </x:c>
      <x:c r="L168" t="str">
        <x:v>37402</x:v>
      </x:c>
      <x:c r="M168"/>
      <x:c r="N168"/>
      <x:c r="O168" t="str">
        <x:v>address_or_site</x:v>
      </x:c>
      <x:c r="P168" t="str">
        <x:v>high</x:v>
      </x:c>
      <x:c r="Q168" t="str">
        <x:v>Public-source verification; unknown coordinates were not inferred.</x:v>
      </x:c>
      <x:c r="R168"/>
      <x:c r="S168" t="str">
        <x:v>operational</x:v>
      </x:c>
      <x:c r="T168" t="str">
        <x:v>legacy_operational_listing</x:v>
      </x:c>
      <x:c r="U168"/>
      <x:c r="V168"/>
      <x:c r="W168"/>
      <x:c r="X168"/>
      <x:c r="Y168"/>
      <x:c r="Z168"/>
      <x:c r="AA168"/>
      <x:c r="AB168"/>
      <x:c r="AC168"/>
      <x:c r="AD168"/>
      <x:c r="AE168"/>
      <x:c r="AF168"/>
      <x:c r="AG168"/>
      <x:c r="AH168"/>
      <x:c r="AI168" t="str">
        <x:v>2026-09-03</x:v>
      </x:c>
      <x:c r="AJ168" s="85" t="str">
        <x:v>https://www.datacentermap.com/usa/tennessee/chattanooga/</x:v>
      </x:c>
      <x:c r="AK168" s="85" t="str">
        <x:v>https://www.datacentermap.com/usa/tennessee/chattanooga/</x:v>
      </x:c>
      <x:c r="AL168" s="85" t="str">
        <x:v>https://www.datacentermap.com/usa/tennessee/chattanooga/</x:v>
      </x:c>
      <x:c r="AM168" s="85" t="str">
        <x:v>Confirm active colocation/data-center service before promotion to Master.</x:v>
      </x:c>
      <x:c r="AN168" t="str">
        <x:v>candidate_site</x:v>
      </x:c>
      <x:c r="AO168" s="76" t="b">
        <x:v>0</x:v>
      </x:c>
      <x:c r="AP168"/>
      <x:c r="AQ168" t="str">
        <x:v>airnet / dataprise chattanooga</x:v>
      </x:c>
      <x:c r="AR168" t="str">
        <x:v>801 broad street</x:v>
      </x:c>
    </x:row>
    <x:row r="169">
      <x:c r="A169" t="str">
        <x:v>tnecd.com</x:v>
      </x:c>
      <x:c r="B169" t="str">
        <x:v>verification:tncand-013:03</x:v>
      </x:c>
      <x:c r="C169" t="str">
        <x:v>Airnet / Dataprise Chattanooga</x:v>
      </x:c>
      <x:c r="D169"/>
      <x:c r="E169"/>
      <x:c r="F169"/>
      <x:c r="G169" t="str">
        <x:v>801 Broad Street</x:v>
      </x:c>
      <x:c r="H169"/>
      <x:c r="I169" t="str">
        <x:v>Chattanooga</x:v>
      </x:c>
      <x:c r="J169" t="str">
        <x:v>Hamilton</x:v>
      </x:c>
      <x:c r="K169" t="str">
        <x:v>TN</x:v>
      </x:c>
      <x:c r="L169" t="str">
        <x:v>37402</x:v>
      </x:c>
      <x:c r="M169"/>
      <x:c r="N169"/>
      <x:c r="O169" t="str">
        <x:v>address_or_site</x:v>
      </x:c>
      <x:c r="P169" t="str">
        <x:v>high</x:v>
      </x:c>
      <x:c r="Q169" t="str">
        <x:v>Public-source verification; unknown coordinates were not inferred.</x:v>
      </x:c>
      <x:c r="R169"/>
      <x:c r="S169" t="str">
        <x:v>operational</x:v>
      </x:c>
      <x:c r="T169" t="str">
        <x:v>legacy_operational_listing</x:v>
      </x:c>
      <x:c r="U169"/>
      <x:c r="V169"/>
      <x:c r="W169"/>
      <x:c r="X169"/>
      <x:c r="Y169"/>
      <x:c r="Z169"/>
      <x:c r="AA169"/>
      <x:c r="AB169"/>
      <x:c r="AC169"/>
      <x:c r="AD169"/>
      <x:c r="AE169"/>
      <x:c r="AF169"/>
      <x:c r="AG169"/>
      <x:c r="AH169"/>
      <x:c r="AI169" t="str">
        <x:v>2026-09-03</x:v>
      </x:c>
      <x:c r="AJ169" s="85" t="str">
        <x:v>https://tnecd.com/wp-content/uploads/2018/10/business-services.pdf</x:v>
      </x:c>
      <x:c r="AK169" s="85" t="str">
        <x:v>https://tnecd.com/wp-content/uploads/2018/10/business-services.pdf</x:v>
      </x:c>
      <x:c r="AL169" s="85" t="str">
        <x:v>https://tnecd.com/wp-content/uploads/2018/10/business-services.pdf</x:v>
      </x:c>
      <x:c r="AM169" s="85" t="str">
        <x:v>Confirm active colocation/data-center service before promotion to Master.</x:v>
      </x:c>
      <x:c r="AN169" t="str">
        <x:v>candidate_site</x:v>
      </x:c>
      <x:c r="AO169" s="76" t="b">
        <x:v>0</x:v>
      </x:c>
      <x:c r="AP169"/>
      <x:c r="AQ169" t="str">
        <x:v>airnet / dataprise chattanooga</x:v>
      </x:c>
      <x:c r="AR169" t="str">
        <x:v>801 broad street</x:v>
      </x:c>
    </x:row>
    <x:row r="170">
      <x:c r="A170" t="str">
        <x:v>datacentermap.com</x:v>
      </x:c>
      <x:c r="B170" t="str">
        <x:v>verification:tncand-014:01</x:v>
      </x:c>
      <x:c r="C170" t="str">
        <x:v>Windstream Nashville — 940 3rd Ave N</x:v>
      </x:c>
      <x:c r="D170"/>
      <x:c r="E170"/>
      <x:c r="F170"/>
      <x:c r="G170" t="str">
        <x:v>940 3rd Ave N</x:v>
      </x:c>
      <x:c r="H170"/>
      <x:c r="I170" t="str">
        <x:v>Nashville</x:v>
      </x:c>
      <x:c r="J170" t="str">
        <x:v>Davidson</x:v>
      </x:c>
      <x:c r="K170" t="str">
        <x:v>TN</x:v>
      </x:c>
      <x:c r="L170" t="str">
        <x:v>37201</x:v>
      </x:c>
      <x:c r="M170"/>
      <x:c r="N170"/>
      <x:c r="O170" t="str">
        <x:v>address_or_site</x:v>
      </x:c>
      <x:c r="P170" t="str">
        <x:v>high</x:v>
      </x:c>
      <x:c r="Q170" t="str">
        <x:v>Public-source verification; unknown coordinates were not inferred.</x:v>
      </x:c>
      <x:c r="R170"/>
      <x:c r="S170" t="str">
        <x:v>operational</x:v>
      </x:c>
      <x:c r="T170" t="str">
        <x:v>legacy_operational_listing</x:v>
      </x:c>
      <x:c r="U170"/>
      <x:c r="V170"/>
      <x:c r="W170"/>
      <x:c r="X170"/>
      <x:c r="Y170"/>
      <x:c r="Z170"/>
      <x:c r="AA170"/>
      <x:c r="AB170"/>
      <x:c r="AC170"/>
      <x:c r="AD170"/>
      <x:c r="AE170"/>
      <x:c r="AF170"/>
      <x:c r="AG170"/>
      <x:c r="AH170"/>
      <x:c r="AI170" t="str">
        <x:v>2026-09-03</x:v>
      </x:c>
      <x:c r="AJ170" s="85" t="str">
        <x:v>https://www.datacentermap.com/usa/tennessee/nashville/nuvox-nashville/</x:v>
      </x:c>
      <x:c r="AK170" s="85" t="str">
        <x:v>https://www.datacentermap.com/usa/tennessee/nashville/nuvox-nashville/</x:v>
      </x:c>
      <x:c r="AL170" s="85" t="str">
        <x:v>https://www.datacentermap.com/usa/tennessee/nashville/nuvox-nashville/</x:v>
      </x:c>
      <x:c r="AM170" s="85" t="str">
        <x:v>Confirm current operations and operator before promotion to Master.</x:v>
      </x:c>
      <x:c r="AN170" t="str">
        <x:v>candidate_site</x:v>
      </x:c>
      <x:c r="AO170" s="76" t="b">
        <x:v>0</x:v>
      </x:c>
      <x:c r="AP170"/>
      <x:c r="AQ170" t="str">
        <x:v>windstream nashville — 940 3rd ave n</x:v>
      </x:c>
      <x:c r="AR170" t="str">
        <x:v>940 3rd ave n</x:v>
      </x:c>
    </x:row>
    <x:row r="171">
      <x:c r="A171" t="str">
        <x:v>tnecd.com</x:v>
      </x:c>
      <x:c r="B171" t="str">
        <x:v>verification:tncand-014:02</x:v>
      </x:c>
      <x:c r="C171" t="str">
        <x:v>Windstream Nashville — 940 3rd Ave N</x:v>
      </x:c>
      <x:c r="D171"/>
      <x:c r="E171"/>
      <x:c r="F171"/>
      <x:c r="G171" t="str">
        <x:v>940 3rd Ave N</x:v>
      </x:c>
      <x:c r="H171"/>
      <x:c r="I171" t="str">
        <x:v>Nashville</x:v>
      </x:c>
      <x:c r="J171" t="str">
        <x:v>Davidson</x:v>
      </x:c>
      <x:c r="K171" t="str">
        <x:v>TN</x:v>
      </x:c>
      <x:c r="L171" t="str">
        <x:v>37201</x:v>
      </x:c>
      <x:c r="M171"/>
      <x:c r="N171"/>
      <x:c r="O171" t="str">
        <x:v>address_or_site</x:v>
      </x:c>
      <x:c r="P171" t="str">
        <x:v>high</x:v>
      </x:c>
      <x:c r="Q171" t="str">
        <x:v>Public-source verification; unknown coordinates were not inferred.</x:v>
      </x:c>
      <x:c r="R171"/>
      <x:c r="S171" t="str">
        <x:v>operational</x:v>
      </x:c>
      <x:c r="T171" t="str">
        <x:v>legacy_operational_listing</x:v>
      </x:c>
      <x:c r="U171"/>
      <x:c r="V171"/>
      <x:c r="W171"/>
      <x:c r="X171"/>
      <x:c r="Y171"/>
      <x:c r="Z171"/>
      <x:c r="AA171"/>
      <x:c r="AB171"/>
      <x:c r="AC171"/>
      <x:c r="AD171"/>
      <x:c r="AE171"/>
      <x:c r="AF171"/>
      <x:c r="AG171"/>
      <x:c r="AH171"/>
      <x:c r="AI171" t="str">
        <x:v>2026-09-03</x:v>
      </x:c>
      <x:c r="AJ171" s="85" t="str">
        <x:v>https://tnecd.com/wp-content/uploads/2018/10/business-services.pdf</x:v>
      </x:c>
      <x:c r="AK171" s="85" t="str">
        <x:v>https://tnecd.com/wp-content/uploads/2018/10/business-services.pdf</x:v>
      </x:c>
      <x:c r="AL171" s="85" t="str">
        <x:v>https://tnecd.com/wp-content/uploads/2018/10/business-services.pdf</x:v>
      </x:c>
      <x:c r="AM171" s="85" t="str">
        <x:v>Confirm current operations and operator before promotion to Master.</x:v>
      </x:c>
      <x:c r="AN171" t="str">
        <x:v>candidate_site</x:v>
      </x:c>
      <x:c r="AO171" s="76" t="b">
        <x:v>0</x:v>
      </x:c>
      <x:c r="AP171"/>
      <x:c r="AQ171" t="str">
        <x:v>windstream nashville — 940 3rd ave n</x:v>
      </x:c>
      <x:c r="AR171" t="str">
        <x:v>940 3rd ave n</x:v>
      </x:c>
    </x:row>
    <x:row r="172">
      <x:c r="A172" t="str">
        <x:v>cityfeet.com</x:v>
      </x:c>
      <x:c r="B172" t="str">
        <x:v>verification:tncand-014:03</x:v>
      </x:c>
      <x:c r="C172" t="str">
        <x:v>Windstream Nashville — 940 3rd Ave N</x:v>
      </x:c>
      <x:c r="D172"/>
      <x:c r="E172"/>
      <x:c r="F172"/>
      <x:c r="G172" t="str">
        <x:v>940 3rd Ave N</x:v>
      </x:c>
      <x:c r="H172"/>
      <x:c r="I172" t="str">
        <x:v>Nashville</x:v>
      </x:c>
      <x:c r="J172" t="str">
        <x:v>Davidson</x:v>
      </x:c>
      <x:c r="K172" t="str">
        <x:v>TN</x:v>
      </x:c>
      <x:c r="L172" t="str">
        <x:v>37201</x:v>
      </x:c>
      <x:c r="M172"/>
      <x:c r="N172"/>
      <x:c r="O172" t="str">
        <x:v>address_or_site</x:v>
      </x:c>
      <x:c r="P172" t="str">
        <x:v>high</x:v>
      </x:c>
      <x:c r="Q172" t="str">
        <x:v>Public-source verification; unknown coordinates were not inferred.</x:v>
      </x:c>
      <x:c r="R172"/>
      <x:c r="S172" t="str">
        <x:v>operational</x:v>
      </x:c>
      <x:c r="T172" t="str">
        <x:v>legacy_operational_listing</x:v>
      </x:c>
      <x:c r="U172"/>
      <x:c r="V172"/>
      <x:c r="W172"/>
      <x:c r="X172"/>
      <x:c r="Y172"/>
      <x:c r="Z172"/>
      <x:c r="AA172"/>
      <x:c r="AB172"/>
      <x:c r="AC172"/>
      <x:c r="AD172"/>
      <x:c r="AE172"/>
      <x:c r="AF172"/>
      <x:c r="AG172"/>
      <x:c r="AH172"/>
      <x:c r="AI172" t="str">
        <x:v>2026-09-03</x:v>
      </x:c>
      <x:c r="AJ172" s="85" t="str">
        <x:v>https://www.cityfeet.com/cont/listing/940-3rd-ave-n-nashville-tn-37201/cs39837774</x:v>
      </x:c>
      <x:c r="AK172" s="85" t="str">
        <x:v>https://www.cityfeet.com/cont/listing/940-3rd-ave-n-nashville-tn-37201/cs39837774</x:v>
      </x:c>
      <x:c r="AL172" s="85" t="str">
        <x:v>https://www.cityfeet.com/cont/listing/940-3rd-ave-n-nashville-tn-37201/cs39837774</x:v>
      </x:c>
      <x:c r="AM172" s="85" t="str">
        <x:v>Confirm current operations and operator before promotion to Master.</x:v>
      </x:c>
      <x:c r="AN172" t="str">
        <x:v>candidate_site</x:v>
      </x:c>
      <x:c r="AO172" s="76" t="b">
        <x:v>0</x:v>
      </x:c>
      <x:c r="AP172"/>
      <x:c r="AQ172" t="str">
        <x:v>windstream nashville — 940 3rd ave n</x:v>
      </x:c>
      <x:c r="AR172" t="str">
        <x:v>940 3rd ave n</x:v>
      </x:c>
    </x:row>
    <x:row r="173">
      <x:c r="A173" t="str">
        <x:v>datacentermap.com</x:v>
      </x:c>
      <x:c r="B173" t="str">
        <x:v>verification:tncand-015:01</x:v>
      </x:c>
      <x:c r="C173" t="str">
        <x:v>Verizon / XO Memphis</x:v>
      </x:c>
      <x:c r="D173"/>
      <x:c r="E173"/>
      <x:c r="F173"/>
      <x:c r="G173" t="str">
        <x:v>5127 Truse Rd</x:v>
      </x:c>
      <x:c r="H173"/>
      <x:c r="I173" t="str">
        <x:v>Memphis</x:v>
      </x:c>
      <x:c r="J173" t="str">
        <x:v>Shelby</x:v>
      </x:c>
      <x:c r="K173" t="str">
        <x:v>TN</x:v>
      </x:c>
      <x:c r="L173" t="str">
        <x:v>38117</x:v>
      </x:c>
      <x:c r="M173"/>
      <x:c r="N173"/>
      <x:c r="O173" t="str">
        <x:v>address_or_site</x:v>
      </x:c>
      <x:c r="P173" t="str">
        <x:v>high</x:v>
      </x:c>
      <x:c r="Q173" t="str">
        <x:v>Public-source verification; unknown coordinates were not inferred.</x:v>
      </x:c>
      <x:c r="R173"/>
      <x:c r="S173" t="str">
        <x:v>operational</x:v>
      </x:c>
      <x:c r="T173" t="str">
        <x:v>legacy_operational_listing</x:v>
      </x:c>
      <x:c r="U173"/>
      <x:c r="V173"/>
      <x:c r="W173"/>
      <x:c r="X173"/>
      <x:c r="Y173"/>
      <x:c r="Z173"/>
      <x:c r="AA173"/>
      <x:c r="AB173"/>
      <x:c r="AC173"/>
      <x:c r="AD173"/>
      <x:c r="AE173"/>
      <x:c r="AF173"/>
      <x:c r="AG173"/>
      <x:c r="AH173"/>
      <x:c r="AI173" t="str">
        <x:v>2026-09-03</x:v>
      </x:c>
      <x:c r="AJ173" s="85" t="str">
        <x:v>https://www.datacentermap.com/usa/tennessee/memphis/</x:v>
      </x:c>
      <x:c r="AK173" s="85" t="str">
        <x:v>https://www.datacentermap.com/usa/tennessee/memphis/</x:v>
      </x:c>
      <x:c r="AL173" s="85" t="str">
        <x:v>https://www.datacentermap.com/usa/tennessee/memphis/</x:v>
      </x:c>
      <x:c r="AM173" s="85" t="str">
        <x:v>Confirm current facility function before promotion to Master.</x:v>
      </x:c>
      <x:c r="AN173" t="str">
        <x:v>candidate_site</x:v>
      </x:c>
      <x:c r="AO173" s="76" t="b">
        <x:v>0</x:v>
      </x:c>
      <x:c r="AP173"/>
      <x:c r="AQ173" t="str">
        <x:v>verizon / xo memphis</x:v>
      </x:c>
      <x:c r="AR173" t="str">
        <x:v>5127 truse rd</x:v>
      </x:c>
    </x:row>
    <x:row r="174">
      <x:c r="A174" t="str">
        <x:v>tnecd.com</x:v>
      </x:c>
      <x:c r="B174" t="str">
        <x:v>verification:tncand-015:02</x:v>
      </x:c>
      <x:c r="C174" t="str">
        <x:v>Verizon / XO Memphis</x:v>
      </x:c>
      <x:c r="D174"/>
      <x:c r="E174"/>
      <x:c r="F174"/>
      <x:c r="G174" t="str">
        <x:v>5127 Truse Rd</x:v>
      </x:c>
      <x:c r="H174"/>
      <x:c r="I174" t="str">
        <x:v>Memphis</x:v>
      </x:c>
      <x:c r="J174" t="str">
        <x:v>Shelby</x:v>
      </x:c>
      <x:c r="K174" t="str">
        <x:v>TN</x:v>
      </x:c>
      <x:c r="L174" t="str">
        <x:v>38117</x:v>
      </x:c>
      <x:c r="M174"/>
      <x:c r="N174"/>
      <x:c r="O174" t="str">
        <x:v>address_or_site</x:v>
      </x:c>
      <x:c r="P174" t="str">
        <x:v>high</x:v>
      </x:c>
      <x:c r="Q174" t="str">
        <x:v>Public-source verification; unknown coordinates were not inferred.</x:v>
      </x:c>
      <x:c r="R174"/>
      <x:c r="S174" t="str">
        <x:v>operational</x:v>
      </x:c>
      <x:c r="T174" t="str">
        <x:v>legacy_operational_listing</x:v>
      </x:c>
      <x:c r="U174"/>
      <x:c r="V174"/>
      <x:c r="W174"/>
      <x:c r="X174"/>
      <x:c r="Y174"/>
      <x:c r="Z174"/>
      <x:c r="AA174"/>
      <x:c r="AB174"/>
      <x:c r="AC174"/>
      <x:c r="AD174"/>
      <x:c r="AE174"/>
      <x:c r="AF174"/>
      <x:c r="AG174"/>
      <x:c r="AH174"/>
      <x:c r="AI174" t="str">
        <x:v>2026-09-03</x:v>
      </x:c>
      <x:c r="AJ174" s="85" t="str">
        <x:v>https://tnecd.com/wp-content/uploads/2018/10/business-services.pdf</x:v>
      </x:c>
      <x:c r="AK174" s="85" t="str">
        <x:v>https://tnecd.com/wp-content/uploads/2018/10/business-services.pdf</x:v>
      </x:c>
      <x:c r="AL174" s="85" t="str">
        <x:v>https://tnecd.com/wp-content/uploads/2018/10/business-services.pdf</x:v>
      </x:c>
      <x:c r="AM174" s="85" t="str">
        <x:v>Confirm current facility function before promotion to Master.</x:v>
      </x:c>
      <x:c r="AN174" t="str">
        <x:v>candidate_site</x:v>
      </x:c>
      <x:c r="AO174" s="76" t="b">
        <x:v>0</x:v>
      </x:c>
      <x:c r="AP174"/>
      <x:c r="AQ174" t="str">
        <x:v>verizon / xo memphis</x:v>
      </x:c>
      <x:c r="AR174" t="str">
        <x:v>5127 truse rd</x:v>
      </x:c>
    </x:row>
    <x:row r="175">
      <x:c r="A175" t="str">
        <x:v>shelbycountytn.gov</x:v>
      </x:c>
      <x:c r="B175" t="str">
        <x:v>verification:tncand-015:03</x:v>
      </x:c>
      <x:c r="C175" t="str">
        <x:v>Verizon / XO Memphis</x:v>
      </x:c>
      <x:c r="D175"/>
      <x:c r="E175"/>
      <x:c r="F175"/>
      <x:c r="G175" t="str">
        <x:v>5127 Truse Rd</x:v>
      </x:c>
      <x:c r="H175"/>
      <x:c r="I175" t="str">
        <x:v>Memphis</x:v>
      </x:c>
      <x:c r="J175" t="str">
        <x:v>Shelby</x:v>
      </x:c>
      <x:c r="K175" t="str">
        <x:v>TN</x:v>
      </x:c>
      <x:c r="L175" t="str">
        <x:v>38117</x:v>
      </x:c>
      <x:c r="M175"/>
      <x:c r="N175"/>
      <x:c r="O175" t="str">
        <x:v>address_or_site</x:v>
      </x:c>
      <x:c r="P175" t="str">
        <x:v>high</x:v>
      </x:c>
      <x:c r="Q175" t="str">
        <x:v>Public-source verification; unknown coordinates were not inferred.</x:v>
      </x:c>
      <x:c r="R175"/>
      <x:c r="S175" t="str">
        <x:v>operational</x:v>
      </x:c>
      <x:c r="T175" t="str">
        <x:v>legacy_operational_listing</x:v>
      </x:c>
      <x:c r="U175"/>
      <x:c r="V175"/>
      <x:c r="W175"/>
      <x:c r="X175"/>
      <x:c r="Y175"/>
      <x:c r="Z175"/>
      <x:c r="AA175"/>
      <x:c r="AB175"/>
      <x:c r="AC175"/>
      <x:c r="AD175"/>
      <x:c r="AE175"/>
      <x:c r="AF175"/>
      <x:c r="AG175"/>
      <x:c r="AH175"/>
      <x:c r="AI175" t="str">
        <x:v>2026-09-03</x:v>
      </x:c>
      <x:c r="AJ175" s="85" t="str">
        <x:v>https://www.shelbycountytn.gov/Archive/ViewFile/Item/13459</x:v>
      </x:c>
      <x:c r="AK175" s="85" t="str">
        <x:v>https://www.shelbycountytn.gov/Archive/ViewFile/Item/13459</x:v>
      </x:c>
      <x:c r="AL175" s="85" t="str">
        <x:v>https://www.shelbycountytn.gov/Archive/ViewFile/Item/13459</x:v>
      </x:c>
      <x:c r="AM175" s="85" t="str">
        <x:v>Confirm current facility function before promotion to Master.</x:v>
      </x:c>
      <x:c r="AN175" t="str">
        <x:v>candidate_site</x:v>
      </x:c>
      <x:c r="AO175" s="76" t="b">
        <x:v>0</x:v>
      </x:c>
      <x:c r="AP175"/>
      <x:c r="AQ175" t="str">
        <x:v>verizon / xo memphis</x:v>
      </x:c>
      <x:c r="AR175" t="str">
        <x:v>5127 truse rd</x:v>
      </x:c>
    </x:row>
    <x:row r="176">
      <x:c r="A176" t="str">
        <x:v>promos.telarus.com</x:v>
      </x:c>
      <x:c r="B176" t="str">
        <x:v>verification:tncand-015:04</x:v>
      </x:c>
      <x:c r="C176" t="str">
        <x:v>Verizon / XO Memphis</x:v>
      </x:c>
      <x:c r="D176"/>
      <x:c r="E176"/>
      <x:c r="F176"/>
      <x:c r="G176" t="str">
        <x:v>5127 Truse Rd</x:v>
      </x:c>
      <x:c r="H176"/>
      <x:c r="I176" t="str">
        <x:v>Memphis</x:v>
      </x:c>
      <x:c r="J176" t="str">
        <x:v>Shelby</x:v>
      </x:c>
      <x:c r="K176" t="str">
        <x:v>TN</x:v>
      </x:c>
      <x:c r="L176" t="str">
        <x:v>38117</x:v>
      </x:c>
      <x:c r="M176"/>
      <x:c r="N176"/>
      <x:c r="O176" t="str">
        <x:v>address_or_site</x:v>
      </x:c>
      <x:c r="P176" t="str">
        <x:v>high</x:v>
      </x:c>
      <x:c r="Q176" t="str">
        <x:v>Public-source verification; unknown coordinates were not inferred.</x:v>
      </x:c>
      <x:c r="R176"/>
      <x:c r="S176" t="str">
        <x:v>operational</x:v>
      </x:c>
      <x:c r="T176" t="str">
        <x:v>legacy_operational_listing</x:v>
      </x:c>
      <x:c r="U176"/>
      <x:c r="V176"/>
      <x:c r="W176"/>
      <x:c r="X176"/>
      <x:c r="Y176"/>
      <x:c r="Z176"/>
      <x:c r="AA176"/>
      <x:c r="AB176"/>
      <x:c r="AC176"/>
      <x:c r="AD176"/>
      <x:c r="AE176"/>
      <x:c r="AF176"/>
      <x:c r="AG176"/>
      <x:c r="AH176"/>
      <x:c r="AI176" t="str">
        <x:v>2026-09-03</x:v>
      </x:c>
      <x:c r="AJ176" s="85" t="str">
        <x:v>https://promos.telarus.com/promo_docs/Q1-2011-XO-Colocation-and-DIA-Promo-Sales-Summary.pdf</x:v>
      </x:c>
      <x:c r="AK176" s="85" t="str">
        <x:v>https://promos.telarus.com/promo_docs/Q1-2011-XO-Colocation-and-DIA-Promo-Sales-Summary.pdf</x:v>
      </x:c>
      <x:c r="AL176" s="85" t="str">
        <x:v>https://promos.telarus.com/promo_docs/Q1-2011-XO-Colocation-and-DIA-Promo-Sales-Summary.pdf</x:v>
      </x:c>
      <x:c r="AM176" s="85" t="str">
        <x:v>Confirm current facility function before promotion to Master.</x:v>
      </x:c>
      <x:c r="AN176" t="str">
        <x:v>candidate_site</x:v>
      </x:c>
      <x:c r="AO176" s="76" t="b">
        <x:v>0</x:v>
      </x:c>
      <x:c r="AP176"/>
      <x:c r="AQ176" t="str">
        <x:v>verizon / xo memphis</x:v>
      </x:c>
      <x:c r="AR176" t="str">
        <x:v>5127 truse rd</x:v>
      </x:c>
    </x:row>
    <x:row r="177">
      <x:c r="A177" t="str">
        <x:v>tnecd.com</x:v>
      </x:c>
      <x:c r="B177" t="str">
        <x:v>verification:tncand-016:01</x:v>
      </x:c>
      <x:c r="C177" t="str">
        <x:v>Lumen Memphis 2 / former tw telecom</x:v>
      </x:c>
      <x:c r="D177"/>
      <x:c r="E177"/>
      <x:c r="F177"/>
      <x:c r="G177" t="str">
        <x:v>5425 E Raines Rd</x:v>
      </x:c>
      <x:c r="H177"/>
      <x:c r="I177" t="str">
        <x:v>Memphis</x:v>
      </x:c>
      <x:c r="J177" t="str">
        <x:v>Shelby</x:v>
      </x:c>
      <x:c r="K177" t="str">
        <x:v>TN</x:v>
      </x:c>
      <x:c r="L177" t="str">
        <x:v>38115</x:v>
      </x:c>
      <x:c r="M177"/>
      <x:c r="N177"/>
      <x:c r="O177" t="str">
        <x:v>address_or_site</x:v>
      </x:c>
      <x:c r="P177" t="str">
        <x:v>high</x:v>
      </x:c>
      <x:c r="Q177" t="str">
        <x:v>Public-source verification; unknown coordinates were not inferred.</x:v>
      </x:c>
      <x:c r="R177"/>
      <x:c r="S177" t="str">
        <x:v>operational</x:v>
      </x:c>
      <x:c r="T177" t="str">
        <x:v>legacy_operational_listing</x:v>
      </x:c>
      <x:c r="U177"/>
      <x:c r="V177"/>
      <x:c r="W177"/>
      <x:c r="X177"/>
      <x:c r="Y177"/>
      <x:c r="Z177"/>
      <x:c r="AA177"/>
      <x:c r="AB177"/>
      <x:c r="AC177"/>
      <x:c r="AD177"/>
      <x:c r="AE177"/>
      <x:c r="AF177"/>
      <x:c r="AG177"/>
      <x:c r="AH177"/>
      <x:c r="AI177" t="str">
        <x:v>2026-09-03</x:v>
      </x:c>
      <x:c r="AJ177" s="85" t="str">
        <x:v>https://tnecd.com/wp-content/uploads/2018/10/business-services.pdf</x:v>
      </x:c>
      <x:c r="AK177" s="85" t="str">
        <x:v>https://tnecd.com/wp-content/uploads/2018/10/business-services.pdf</x:v>
      </x:c>
      <x:c r="AL177" s="85" t="str">
        <x:v>https://tnecd.com/wp-content/uploads/2018/10/business-services.pdf</x:v>
      </x:c>
      <x:c r="AM177" s="85" t="str">
        <x:v>Confirm active data-center operations before promotion to Master.</x:v>
      </x:c>
      <x:c r="AN177" t="str">
        <x:v>candidate_site</x:v>
      </x:c>
      <x:c r="AO177" s="76" t="b">
        <x:v>0</x:v>
      </x:c>
      <x:c r="AP177"/>
      <x:c r="AQ177" t="str">
        <x:v>lumen memphis 2 / former tw telecom</x:v>
      </x:c>
      <x:c r="AR177" t="str">
        <x:v>5425 e raines rd</x:v>
      </x:c>
    </x:row>
    <x:row r="178">
      <x:c r="A178" t="str">
        <x:v>businessinternet.com</x:v>
      </x:c>
      <x:c r="B178" t="str">
        <x:v>verification:tncand-016:02</x:v>
      </x:c>
      <x:c r="C178" t="str">
        <x:v>Lumen Memphis 2 / former tw telecom</x:v>
      </x:c>
      <x:c r="D178"/>
      <x:c r="E178"/>
      <x:c r="F178"/>
      <x:c r="G178" t="str">
        <x:v>5425 E Raines Rd</x:v>
      </x:c>
      <x:c r="H178"/>
      <x:c r="I178" t="str">
        <x:v>Memphis</x:v>
      </x:c>
      <x:c r="J178" t="str">
        <x:v>Shelby</x:v>
      </x:c>
      <x:c r="K178" t="str">
        <x:v>TN</x:v>
      </x:c>
      <x:c r="L178" t="str">
        <x:v>38115</x:v>
      </x:c>
      <x:c r="M178"/>
      <x:c r="N178"/>
      <x:c r="O178" t="str">
        <x:v>address_or_site</x:v>
      </x:c>
      <x:c r="P178" t="str">
        <x:v>high</x:v>
      </x:c>
      <x:c r="Q178" t="str">
        <x:v>Public-source verification; unknown coordinates were not inferred.</x:v>
      </x:c>
      <x:c r="R178"/>
      <x:c r="S178" t="str">
        <x:v>operational</x:v>
      </x:c>
      <x:c r="T178" t="str">
        <x:v>legacy_operational_listing</x:v>
      </x:c>
      <x:c r="U178"/>
      <x:c r="V178"/>
      <x:c r="W178"/>
      <x:c r="X178"/>
      <x:c r="Y178"/>
      <x:c r="Z178"/>
      <x:c r="AA178"/>
      <x:c r="AB178"/>
      <x:c r="AC178"/>
      <x:c r="AD178"/>
      <x:c r="AE178"/>
      <x:c r="AF178"/>
      <x:c r="AG178"/>
      <x:c r="AH178"/>
      <x:c r="AI178" t="str">
        <x:v>2026-09-03</x:v>
      </x:c>
      <x:c r="AJ178" s="85" t="str">
        <x:v>https://businessinternet.com/tennessee/memphis</x:v>
      </x:c>
      <x:c r="AK178" s="85" t="str">
        <x:v>https://businessinternet.com/tennessee/memphis</x:v>
      </x:c>
      <x:c r="AL178" s="85" t="str">
        <x:v>https://businessinternet.com/tennessee/memphis</x:v>
      </x:c>
      <x:c r="AM178" s="85" t="str">
        <x:v>Confirm active data-center operations before promotion to Master.</x:v>
      </x:c>
      <x:c r="AN178" t="str">
        <x:v>candidate_site</x:v>
      </x:c>
      <x:c r="AO178" s="76" t="b">
        <x:v>0</x:v>
      </x:c>
      <x:c r="AP178"/>
      <x:c r="AQ178" t="str">
        <x:v>lumen memphis 2 / former tw telecom</x:v>
      </x:c>
      <x:c r="AR178" t="str">
        <x:v>5425 e raines rd</x:v>
      </x:c>
    </x:row>
    <x:row r="179">
      <x:c r="A179" t="str">
        <x:v>baxtel.com</x:v>
      </x:c>
      <x:c r="B179" t="str">
        <x:v>verification:tncand-016:03</x:v>
      </x:c>
      <x:c r="C179" t="str">
        <x:v>Lumen Memphis 2 / former tw telecom</x:v>
      </x:c>
      <x:c r="D179"/>
      <x:c r="E179"/>
      <x:c r="F179"/>
      <x:c r="G179" t="str">
        <x:v>5425 E Raines Rd</x:v>
      </x:c>
      <x:c r="H179"/>
      <x:c r="I179" t="str">
        <x:v>Memphis</x:v>
      </x:c>
      <x:c r="J179" t="str">
        <x:v>Shelby</x:v>
      </x:c>
      <x:c r="K179" t="str">
        <x:v>TN</x:v>
      </x:c>
      <x:c r="L179" t="str">
        <x:v>38115</x:v>
      </x:c>
      <x:c r="M179"/>
      <x:c r="N179"/>
      <x:c r="O179" t="str">
        <x:v>address_or_site</x:v>
      </x:c>
      <x:c r="P179" t="str">
        <x:v>high</x:v>
      </x:c>
      <x:c r="Q179" t="str">
        <x:v>Public-source verification; unknown coordinates were not inferred.</x:v>
      </x:c>
      <x:c r="R179"/>
      <x:c r="S179" t="str">
        <x:v>operational</x:v>
      </x:c>
      <x:c r="T179" t="str">
        <x:v>legacy_operational_listing</x:v>
      </x:c>
      <x:c r="U179"/>
      <x:c r="V179"/>
      <x:c r="W179"/>
      <x:c r="X179"/>
      <x:c r="Y179"/>
      <x:c r="Z179"/>
      <x:c r="AA179"/>
      <x:c r="AB179"/>
      <x:c r="AC179"/>
      <x:c r="AD179"/>
      <x:c r="AE179"/>
      <x:c r="AF179"/>
      <x:c r="AG179"/>
      <x:c r="AH179"/>
      <x:c r="AI179" t="str">
        <x:v>2026-09-03</x:v>
      </x:c>
      <x:c r="AJ179" s="85" t="str">
        <x:v>https://baxtel.com/data-center/memphis</x:v>
      </x:c>
      <x:c r="AK179" s="85" t="str">
        <x:v>https://baxtel.com/data-center/memphis</x:v>
      </x:c>
      <x:c r="AL179" s="85" t="str">
        <x:v>https://baxtel.com/data-center/memphis</x:v>
      </x:c>
      <x:c r="AM179" s="85" t="str">
        <x:v>Confirm active data-center operations before promotion to Master.</x:v>
      </x:c>
      <x:c r="AN179" t="str">
        <x:v>candidate_site</x:v>
      </x:c>
      <x:c r="AO179" s="76" t="b">
        <x:v>0</x:v>
      </x:c>
      <x:c r="AP179"/>
      <x:c r="AQ179" t="str">
        <x:v>lumen memphis 2 / former tw telecom</x:v>
      </x:c>
      <x:c r="AR179" t="str">
        <x:v>5425 e raines rd</x:v>
      </x:c>
    </x:row>
    <x:row r="180">
      <x:c r="A180" t="str">
        <x:v>compassdatacenters.com</x:v>
      </x:c>
      <x:c r="B180" t="str">
        <x:v>verification:tndc-013-update:01</x:v>
      </x:c>
      <x:c r="C180" t="str">
        <x:v>TierPoint Nashville</x:v>
      </x:c>
      <x:c r="D180"/>
      <x:c r="E180" t="str">
        <x:v>TierPoint</x:v>
      </x:c>
      <x:c r="F180"/>
      <x:c r="G180" t="str">
        <x:v>311 Eddy Lane</x:v>
      </x:c>
      <x:c r="H180"/>
      <x:c r="I180" t="str">
        <x:v>Franklin</x:v>
      </x:c>
      <x:c r="J180" t="str">
        <x:v>Williamson</x:v>
      </x:c>
      <x:c r="K180" t="str">
        <x:v>TN</x:v>
      </x:c>
      <x:c r="L180" t="str">
        <x:v>37064</x:v>
      </x:c>
      <x:c r="M180"/>
      <x:c r="N180"/>
      <x:c r="O180"/>
      <x:c r="P180"/>
      <x:c r="Q180" t="str">
        <x:v>Public-source verification; unknown coordinates were not inferred.</x:v>
      </x:c>
      <x:c r="R180" t="str">
        <x:v>operational</x:v>
      </x:c>
      <x:c r="S180" t="str">
        <x:v>operational</x:v>
      </x:c>
      <x:c r="T180" t="str">
        <x:v>data_center</x:v>
      </x:c>
      <x:c r="U180"/>
      <x:c r="V180"/>
      <x:c r="W180"/>
      <x:c r="X180"/>
      <x:c r="Y180"/>
      <x:c r="Z180"/>
      <x:c r="AA180"/>
      <x:c r="AB180"/>
      <x:c r="AC180"/>
      <x:c r="AD180"/>
      <x:c r="AE180"/>
      <x:c r="AF180"/>
      <x:c r="AG180"/>
      <x:c r="AH180"/>
      <x:c r="AI180" t="str">
        <x:v>2026-09-03</x:v>
      </x:c>
      <x:c r="AJ180" s="85" t="str">
        <x:v>https://www.compassdatacenters.com/data-center-markets/</x:v>
      </x:c>
      <x:c r="AK180" s="85" t="str">
        <x:v>https://www.compassdatacenters.com/data-center-markets/</x:v>
      </x:c>
      <x:c r="AL180" s="85" t="str">
        <x:v>https://www.compassdatacenters.com/data-center-markets/</x:v>
      </x:c>
      <x:c r="AM180" s="85" t="str">
        <x:v>Consolidate Compass development history into the existing TierPoint Eddy Lane physical site.</x:v>
      </x:c>
      <x:c r="AN180" t="str">
        <x:v>core_data_center</x:v>
      </x:c>
      <x:c r="AO180" s="76" t="b">
        <x:v>1</x:v>
      </x:c>
      <x:c r="AP180" t="str">
        <x:v>TierPoint</x:v>
      </x:c>
      <x:c r="AQ180" t="str">
        <x:v>tierpoint nashville</x:v>
      </x:c>
      <x:c r="AR180" t="str">
        <x:v>311 eddy lane</x:v>
      </x:c>
    </x:row>
    <x:row r="181">
      <x:c r="A181" t="str">
        <x:v>compassdatacenters.com</x:v>
      </x:c>
      <x:c r="B181" t="str">
        <x:v>verification:tndc-013-update:02</x:v>
      </x:c>
      <x:c r="C181" t="str">
        <x:v>TierPoint Nashville</x:v>
      </x:c>
      <x:c r="D181"/>
      <x:c r="E181" t="str">
        <x:v>TierPoint</x:v>
      </x:c>
      <x:c r="F181"/>
      <x:c r="G181" t="str">
        <x:v>311 Eddy Lane</x:v>
      </x:c>
      <x:c r="H181"/>
      <x:c r="I181" t="str">
        <x:v>Franklin</x:v>
      </x:c>
      <x:c r="J181" t="str">
        <x:v>Williamson</x:v>
      </x:c>
      <x:c r="K181" t="str">
        <x:v>TN</x:v>
      </x:c>
      <x:c r="L181" t="str">
        <x:v>37064</x:v>
      </x:c>
      <x:c r="M181"/>
      <x:c r="N181"/>
      <x:c r="O181"/>
      <x:c r="P181"/>
      <x:c r="Q181" t="str">
        <x:v>Public-source verification; unknown coordinates were not inferred.</x:v>
      </x:c>
      <x:c r="R181" t="str">
        <x:v>operational</x:v>
      </x:c>
      <x:c r="S181" t="str">
        <x:v>operational</x:v>
      </x:c>
      <x:c r="T181" t="str">
        <x:v>data_center</x:v>
      </x:c>
      <x:c r="U181"/>
      <x:c r="V181"/>
      <x:c r="W181"/>
      <x:c r="X181"/>
      <x:c r="Y181"/>
      <x:c r="Z181"/>
      <x:c r="AA181"/>
      <x:c r="AB181"/>
      <x:c r="AC181"/>
      <x:c r="AD181"/>
      <x:c r="AE181"/>
      <x:c r="AF181"/>
      <x:c r="AG181"/>
      <x:c r="AH181"/>
      <x:c r="AI181" t="str">
        <x:v>2026-09-03</x:v>
      </x:c>
      <x:c r="AJ181" s="85" t="str">
        <x:v>https://www.compassdatacenters.com/news/compass-datacenters-completes-construction-of-first-data-center-facility-in-suburban-nashville/</x:v>
      </x:c>
      <x:c r="AK181" s="85" t="str">
        <x:v>https://www.compassdatacenters.com/news/compass-datacenters-completes-construction-of-first-data-center-facility-in-suburban-nashville/</x:v>
      </x:c>
      <x:c r="AL181" s="85" t="str">
        <x:v>https://www.compassdatacenters.com/news/compass-datacenters-completes-construction-of-first-data-center-facility-in-suburban-nashville/</x:v>
      </x:c>
      <x:c r="AM181" s="85" t="str">
        <x:v>Consolidate Compass development history into the existing TierPoint Eddy Lane physical site.</x:v>
      </x:c>
      <x:c r="AN181" t="str">
        <x:v>core_data_center</x:v>
      </x:c>
      <x:c r="AO181" s="76" t="b">
        <x:v>1</x:v>
      </x:c>
      <x:c r="AP181" t="str">
        <x:v>TierPoint</x:v>
      </x:c>
      <x:c r="AQ181" t="str">
        <x:v>tierpoint nashville</x:v>
      </x:c>
      <x:c r="AR181" t="str">
        <x:v>311 eddy lane</x:v>
      </x:c>
    </x:row>
    <x:row r="182">
      <x:c r="A182" t="str">
        <x:v>registry.deploy.report</x:v>
      </x:c>
      <x:c r="B182" t="str">
        <x:v>verification:tndc-013-update:03</x:v>
      </x:c>
      <x:c r="C182" t="str">
        <x:v>TierPoint Nashville</x:v>
      </x:c>
      <x:c r="D182"/>
      <x:c r="E182" t="str">
        <x:v>TierPoint</x:v>
      </x:c>
      <x:c r="F182"/>
      <x:c r="G182" t="str">
        <x:v>311 Eddy Lane</x:v>
      </x:c>
      <x:c r="H182"/>
      <x:c r="I182" t="str">
        <x:v>Franklin</x:v>
      </x:c>
      <x:c r="J182" t="str">
        <x:v>Williamson</x:v>
      </x:c>
      <x:c r="K182" t="str">
        <x:v>TN</x:v>
      </x:c>
      <x:c r="L182" t="str">
        <x:v>37064</x:v>
      </x:c>
      <x:c r="M182"/>
      <x:c r="N182"/>
      <x:c r="O182"/>
      <x:c r="P182"/>
      <x:c r="Q182" t="str">
        <x:v>Public-source verification; unknown coordinates were not inferred.</x:v>
      </x:c>
      <x:c r="R182" t="str">
        <x:v>operational</x:v>
      </x:c>
      <x:c r="S182" t="str">
        <x:v>operational</x:v>
      </x:c>
      <x:c r="T182" t="str">
        <x:v>data_center</x:v>
      </x:c>
      <x:c r="U182"/>
      <x:c r="V182"/>
      <x:c r="W182"/>
      <x:c r="X182"/>
      <x:c r="Y182"/>
      <x:c r="Z182"/>
      <x:c r="AA182"/>
      <x:c r="AB182"/>
      <x:c r="AC182"/>
      <x:c r="AD182"/>
      <x:c r="AE182"/>
      <x:c r="AF182"/>
      <x:c r="AG182"/>
      <x:c r="AH182"/>
      <x:c r="AI182" t="str">
        <x:v>2026-09-03</x:v>
      </x:c>
      <x:c r="AJ182" s="85" t="str">
        <x:v>https://registry.deploy.report/datacenters/facilities/compass-nashville-franklin</x:v>
      </x:c>
      <x:c r="AK182" s="85" t="str">
        <x:v>https://registry.deploy.report/datacenters/facilities/compass-nashville-franklin</x:v>
      </x:c>
      <x:c r="AL182" s="85" t="str">
        <x:v>https://registry.deploy.report/datacenters/facilities/compass-nashville-franklin</x:v>
      </x:c>
      <x:c r="AM182" s="85" t="str">
        <x:v>Consolidate Compass development history into the existing TierPoint Eddy Lane physical site.</x:v>
      </x:c>
      <x:c r="AN182" t="str">
        <x:v>core_data_center</x:v>
      </x:c>
      <x:c r="AO182" s="76" t="b">
        <x:v>1</x:v>
      </x:c>
      <x:c r="AP182" t="str">
        <x:v>TierPoint</x:v>
      </x:c>
      <x:c r="AQ182" t="str">
        <x:v>tierpoint nashville</x:v>
      </x:c>
      <x:c r="AR182" t="str">
        <x:v>311 eddy lane</x:v>
      </x:c>
    </x:row>
    <x:row r="183">
      <x:c r="A183" t="str">
        <x:v>baxtel.com</x:v>
      </x:c>
      <x:c r="B183" t="str">
        <x:v>verification:tndc-013-update:04</x:v>
      </x:c>
      <x:c r="C183" t="str">
        <x:v>TierPoint Nashville</x:v>
      </x:c>
      <x:c r="D183"/>
      <x:c r="E183" t="str">
        <x:v>TierPoint</x:v>
      </x:c>
      <x:c r="F183"/>
      <x:c r="G183" t="str">
        <x:v>311 Eddy Lane</x:v>
      </x:c>
      <x:c r="H183"/>
      <x:c r="I183" t="str">
        <x:v>Franklin</x:v>
      </x:c>
      <x:c r="J183" t="str">
        <x:v>Williamson</x:v>
      </x:c>
      <x:c r="K183" t="str">
        <x:v>TN</x:v>
      </x:c>
      <x:c r="L183" t="str">
        <x:v>37064</x:v>
      </x:c>
      <x:c r="M183"/>
      <x:c r="N183"/>
      <x:c r="O183"/>
      <x:c r="P183"/>
      <x:c r="Q183" t="str">
        <x:v>Public-source verification; unknown coordinates were not inferred.</x:v>
      </x:c>
      <x:c r="R183" t="str">
        <x:v>operational</x:v>
      </x:c>
      <x:c r="S183" t="str">
        <x:v>operational</x:v>
      </x:c>
      <x:c r="T183" t="str">
        <x:v>data_center</x:v>
      </x:c>
      <x:c r="U183"/>
      <x:c r="V183"/>
      <x:c r="W183"/>
      <x:c r="X183"/>
      <x:c r="Y183"/>
      <x:c r="Z183"/>
      <x:c r="AA183"/>
      <x:c r="AB183"/>
      <x:c r="AC183"/>
      <x:c r="AD183"/>
      <x:c r="AE183"/>
      <x:c r="AF183"/>
      <x:c r="AG183"/>
      <x:c r="AH183"/>
      <x:c r="AI183" t="str">
        <x:v>2026-09-03</x:v>
      </x:c>
      <x:c r="AJ183" s="85" t="str">
        <x:v>https://baxtel.com/data-center/compass-franklin-i</x:v>
      </x:c>
      <x:c r="AK183" s="85" t="str">
        <x:v>https://baxtel.com/data-center/compass-franklin-i</x:v>
      </x:c>
      <x:c r="AL183" s="85" t="str">
        <x:v>https://baxtel.com/data-center/compass-franklin-i</x:v>
      </x:c>
      <x:c r="AM183" s="85" t="str">
        <x:v>Consolidate Compass development history into the existing TierPoint Eddy Lane physical site.</x:v>
      </x:c>
      <x:c r="AN183" t="str">
        <x:v>core_data_center</x:v>
      </x:c>
      <x:c r="AO183" s="76" t="b">
        <x:v>1</x:v>
      </x:c>
      <x:c r="AP183" t="str">
        <x:v>TierPoint</x:v>
      </x:c>
      <x:c r="AQ183" t="str">
        <x:v>tierpoint nashville</x:v>
      </x:c>
      <x:c r="AR183" t="str">
        <x:v>311 eddy lane</x:v>
      </x:c>
    </x:row>
    <x:row r="184">
      <x:c r="A184" t="str">
        <x:v>baxtel.com</x:v>
      </x:c>
      <x:c r="B184" t="str">
        <x:v>verification:tndc-028-update:01</x:v>
      </x:c>
      <x:c r="C184" t="str">
        <x:v>Expedient Memphis</x:v>
      </x:c>
      <x:c r="D184"/>
      <x:c r="E184" t="str">
        <x:v>Expedient</x:v>
      </x:c>
      <x:c r="F184"/>
      <x:c r="G184" t="str">
        <x:v>3180 Players Lane</x:v>
      </x:c>
      <x:c r="H184"/>
      <x:c r="I184" t="str">
        <x:v>Memphis</x:v>
      </x:c>
      <x:c r="J184" t="str">
        <x:v>Shelby</x:v>
      </x:c>
      <x:c r="K184" t="str">
        <x:v>TN</x:v>
      </x:c>
      <x:c r="L184" t="str">
        <x:v>38125</x:v>
      </x:c>
      <x:c r="M184"/>
      <x:c r="N184"/>
      <x:c r="O184"/>
      <x:c r="P184"/>
      <x:c r="Q184" t="str">
        <x:v>Public-source verification; unknown coordinates were not inferred.</x:v>
      </x:c>
      <x:c r="R184" t="str">
        <x:v>operational</x:v>
      </x:c>
      <x:c r="S184" t="str">
        <x:v>operational</x:v>
      </x:c>
      <x:c r="T184" t="str">
        <x:v>interconnection_facility</x:v>
      </x:c>
      <x:c r="U184"/>
      <x:c r="V184"/>
      <x:c r="W184"/>
      <x:c r="X184"/>
      <x:c r="Y184"/>
      <x:c r="Z184"/>
      <x:c r="AA184"/>
      <x:c r="AB184"/>
      <x:c r="AC184"/>
      <x:c r="AD184"/>
      <x:c r="AE184"/>
      <x:c r="AF184"/>
      <x:c r="AG184"/>
      <x:c r="AH184"/>
      <x:c r="AI184" t="str">
        <x:v>2026-09-03</x:v>
      </x:c>
      <x:c r="AJ184" s="85" t="str">
        <x:v>https://baxtel.com/data-center/sentinel-memphis-tn-1</x:v>
      </x:c>
      <x:c r="AK184" s="85" t="str">
        <x:v>https://baxtel.com/data-center/sentinel-memphis-tn-1</x:v>
      </x:c>
      <x:c r="AL184" s="85" t="str">
        <x:v>https://baxtel.com/data-center/sentinel-memphis-tn-1</x:v>
      </x:c>
      <x:c r="AM184" s="85" t="str">
        <x:v>Consolidate Sentinel history and published site metrics into the existing Expedient physical site.</x:v>
      </x:c>
      <x:c r="AN184" t="str">
        <x:v>core_data_center</x:v>
      </x:c>
      <x:c r="AO184" s="76" t="b">
        <x:v>1</x:v>
      </x:c>
      <x:c r="AP184" t="str">
        <x:v>Expedient</x:v>
      </x:c>
      <x:c r="AQ184" t="str">
        <x:v>expedient memphis</x:v>
      </x:c>
      <x:c r="AR184" t="str">
        <x:v>3180 players lane</x:v>
      </x:c>
    </x:row>
    <x:row r="185">
      <x:c r="A185" t="str">
        <x:v>bizjournals.com</x:v>
      </x:c>
      <x:c r="B185" t="str">
        <x:v>verification:tndc-031-update:01</x:v>
      </x:c>
      <x:c r="C185" t="str">
        <x:v>xAI Colossus 2</x:v>
      </x:c>
      <x:c r="D185"/>
      <x:c r="E185" t="str">
        <x:v>xAI</x:v>
      </x:c>
      <x:c r="F185"/>
      <x:c r="G185" t="str">
        <x:v>5414–5420 Tulane Rd</x:v>
      </x:c>
      <x:c r="H185"/>
      <x:c r="I185" t="str">
        <x:v>Memphis</x:v>
      </x:c>
      <x:c r="J185" t="str">
        <x:v>Shelby</x:v>
      </x:c>
      <x:c r="K185" t="str">
        <x:v>TN</x:v>
      </x:c>
      <x:c r="L185" t="str">
        <x:v>38109</x:v>
      </x:c>
      <x:c r="M185"/>
      <x:c r="N185"/>
      <x:c r="O185"/>
      <x:c r="P185"/>
      <x:c r="Q185" t="str">
        <x:v>Public-source verification; unknown coordinates were not inferred.</x:v>
      </x:c>
      <x:c r="R185" t="str">
        <x:v>expanding</x:v>
      </x:c>
      <x:c r="S185" t="str">
        <x:v>expanding</x:v>
      </x:c>
      <x:c r="T185" t="str">
        <x:v>data_center</x:v>
      </x:c>
      <x:c r="U185"/>
      <x:c r="V185"/>
      <x:c r="W185"/>
      <x:c r="X185"/>
      <x:c r="Y185"/>
      <x:c r="Z185"/>
      <x:c r="AA185"/>
      <x:c r="AB185"/>
      <x:c r="AC185"/>
      <x:c r="AD185"/>
      <x:c r="AE185"/>
      <x:c r="AF185"/>
      <x:c r="AG185"/>
      <x:c r="AH185"/>
      <x:c r="AI185" t="str">
        <x:v>2026-09-03</x:v>
      </x:c>
      <x:c r="AJ185" s="85" t="str">
        <x:v>https://www.bizjournals.com/memphis/news/2026/03/03/xai-colossus-2-campus-5414-tulane-building.html</x:v>
      </x:c>
      <x:c r="AK185" s="85" t="str">
        <x:v>https://www.bizjournals.com/memphis/news/2026/03/03/xai-colossus-2-campus-5414-tulane-building.html</x:v>
      </x:c>
      <x:c r="AL185" s="85" t="str">
        <x:v>https://www.bizjournals.com/memphis/news/2026/03/03/xai-colossus-2-campus-5414-tulane-building.html</x:v>
      </x:c>
      <x:c r="AM185" s="85" t="str">
        <x:v>Expand the normalized campus address and retain the disclosed building investment with scope caveat.</x:v>
      </x:c>
      <x:c r="AN185" t="str">
        <x:v>core_data_center</x:v>
      </x:c>
      <x:c r="AO185" s="76" t="b">
        <x:v>1</x:v>
      </x:c>
      <x:c r="AP185" t="str">
        <x:v>xAI</x:v>
      </x:c>
      <x:c r="AQ185" t="str">
        <x:v>xai colossus 2</x:v>
      </x:c>
      <x:c r="AR185" t="str">
        <x:v>5414–5420 tulane rd</x:v>
      </x:c>
    </x:row>
    <x:row r="186">
      <x:c r="A186" t="str">
        <x:v>memphistn.gov</x:v>
      </x:c>
      <x:c r="B186" t="str">
        <x:v>verification:tndc-031-update:02</x:v>
      </x:c>
      <x:c r="C186" t="str">
        <x:v>xAI Colossus 2</x:v>
      </x:c>
      <x:c r="D186"/>
      <x:c r="E186" t="str">
        <x:v>xAI</x:v>
      </x:c>
      <x:c r="F186"/>
      <x:c r="G186" t="str">
        <x:v>5414–5420 Tulane Rd</x:v>
      </x:c>
      <x:c r="H186"/>
      <x:c r="I186" t="str">
        <x:v>Memphis</x:v>
      </x:c>
      <x:c r="J186" t="str">
        <x:v>Shelby</x:v>
      </x:c>
      <x:c r="K186" t="str">
        <x:v>TN</x:v>
      </x:c>
      <x:c r="L186" t="str">
        <x:v>38109</x:v>
      </x:c>
      <x:c r="M186"/>
      <x:c r="N186"/>
      <x:c r="O186"/>
      <x:c r="P186"/>
      <x:c r="Q186" t="str">
        <x:v>Public-source verification; unknown coordinates were not inferred.</x:v>
      </x:c>
      <x:c r="R186" t="str">
        <x:v>expanding</x:v>
      </x:c>
      <x:c r="S186" t="str">
        <x:v>expanding</x:v>
      </x:c>
      <x:c r="T186" t="str">
        <x:v>data_center</x:v>
      </x:c>
      <x:c r="U186"/>
      <x:c r="V186"/>
      <x:c r="W186"/>
      <x:c r="X186"/>
      <x:c r="Y186"/>
      <x:c r="Z186"/>
      <x:c r="AA186"/>
      <x:c r="AB186"/>
      <x:c r="AC186"/>
      <x:c r="AD186"/>
      <x:c r="AE186"/>
      <x:c r="AF186"/>
      <x:c r="AG186"/>
      <x:c r="AH186"/>
      <x:c r="AI186" t="str">
        <x:v>2026-09-03</x:v>
      </x:c>
      <x:c r="AJ186" s="85" t="str">
        <x:v>https://memphistn.gov/wp-content/uploads/2025/03/Revised-Agenda-02-18-2025.pdf</x:v>
      </x:c>
      <x:c r="AK186" s="85" t="str">
        <x:v>https://memphistn.gov/wp-content/uploads/2025/03/Revised-Agenda-02-18-2025.pdf</x:v>
      </x:c>
      <x:c r="AL186" s="85" t="str">
        <x:v>https://memphistn.gov/wp-content/uploads/2025/03/Revised-Agenda-02-18-2025.pdf</x:v>
      </x:c>
      <x:c r="AM186" s="85" t="str">
        <x:v>Expand the normalized campus address and retain the disclosed building investment with scope caveat.</x:v>
      </x:c>
      <x:c r="AN186" t="str">
        <x:v>core_data_center</x:v>
      </x:c>
      <x:c r="AO186" s="76" t="b">
        <x:v>1</x:v>
      </x:c>
      <x:c r="AP186" t="str">
        <x:v>xAI</x:v>
      </x:c>
      <x:c r="AQ186" t="str">
        <x:v>xai colossus 2</x:v>
      </x:c>
      <x:c r="AR186" t="str">
        <x:v>5414–5420 tulane rd</x:v>
      </x:c>
    </x:row>
    <x:row r="187">
      <x:c r="A187" t="str">
        <x:v>datacentermap.com</x:v>
      </x:c>
      <x:c r="B187" t="str">
        <x:v>verification:tndc-002-update:01</x:v>
      </x:c>
      <x:c r="C187" t="str">
        <x:v>CleanSpark Campbell Junction Bitcoin Mining Facility</x:v>
      </x:c>
      <x:c r="D187"/>
      <x:c r="E187" t="str">
        <x:v>CleanSpark, Inc.</x:v>
      </x:c>
      <x:c r="F187"/>
      <x:c r="G187"/>
      <x:c r="H187"/>
      <x:c r="I187" t="str">
        <x:v>Campbell Junction</x:v>
      </x:c>
      <x:c r="J187" t="str">
        <x:v>Cumberland</x:v>
      </x:c>
      <x:c r="K187" t="str">
        <x:v>TN</x:v>
      </x:c>
      <x:c r="L187"/>
      <x:c r="M187"/>
      <x:c r="N187"/>
      <x:c r="O187"/>
      <x:c r="P187"/>
      <x:c r="Q187" t="str">
        <x:v>Public-source verification; unknown coordinates were not inferred.</x:v>
      </x:c>
      <x:c r="R187" t="str">
        <x:v>operational</x:v>
      </x:c>
      <x:c r="S187" t="str">
        <x:v>operational</x:v>
      </x:c>
      <x:c r="T187" t="str">
        <x:v>crypto_mining</x:v>
      </x:c>
      <x:c r="U187"/>
      <x:c r="V187"/>
      <x:c r="W187"/>
      <x:c r="X187"/>
      <x:c r="Y187"/>
      <x:c r="Z187"/>
      <x:c r="AA187"/>
      <x:c r="AB187"/>
      <x:c r="AC187"/>
      <x:c r="AD187"/>
      <x:c r="AE187"/>
      <x:c r="AF187"/>
      <x:c r="AG187"/>
      <x:c r="AH187"/>
      <x:c r="AI187" t="str">
        <x:v>2026-09-03</x:v>
      </x:c>
      <x:c r="AJ187" s="85" t="str">
        <x:v>https://www.datacentermap.com/usa/tennessee/crossville/</x:v>
      </x:c>
      <x:c r="AK187" s="85" t="str">
        <x:v>https://www.datacentermap.com/usa/tennessee/crossville/</x:v>
      </x:c>
      <x:c r="AL187" s="85" t="str">
        <x:v>https://www.datacentermap.com/usa/tennessee/crossville/</x:v>
      </x:c>
      <x:c r="AM187" s="85" t="str">
        <x:v>Preserve the two public Crossville address listings without forcing an uncertain one-to-one assignment.</x:v>
      </x:c>
      <x:c r="AN187" t="str">
        <x:v>crypto_mining</x:v>
      </x:c>
      <x:c r="AO187" s="76" t="b">
        <x:v>1</x:v>
      </x:c>
      <x:c r="AP187" t="str">
        <x:v>CleanSpark, Inc.</x:v>
      </x:c>
      <x:c r="AQ187" t="str">
        <x:v>cleanspark campbell junction bitcoin mining facility</x:v>
      </x:c>
      <x:c r="AR187"/>
    </x:row>
    <x:row r="188">
      <x:c r="A188" t="str">
        <x:v>datacentermap.com</x:v>
      </x:c>
      <x:c r="B188" t="str">
        <x:v>verification:tndc-009-update:01</x:v>
      </x:c>
      <x:c r="C188" t="str">
        <x:v>CleanSpark West Crossville Bitcoin Mining Facility</x:v>
      </x:c>
      <x:c r="D188"/>
      <x:c r="E188" t="str">
        <x:v>CleanSpark, Inc.</x:v>
      </x:c>
      <x:c r="F188"/>
      <x:c r="G188"/>
      <x:c r="H188"/>
      <x:c r="I188" t="str">
        <x:v>Crossville</x:v>
      </x:c>
      <x:c r="J188" t="str">
        <x:v>Cumberland</x:v>
      </x:c>
      <x:c r="K188" t="str">
        <x:v>TN</x:v>
      </x:c>
      <x:c r="L188"/>
      <x:c r="M188"/>
      <x:c r="N188"/>
      <x:c r="O188"/>
      <x:c r="P188"/>
      <x:c r="Q188" t="str">
        <x:v>Public-source verification; unknown coordinates were not inferred.</x:v>
      </x:c>
      <x:c r="R188" t="str">
        <x:v>operational</x:v>
      </x:c>
      <x:c r="S188" t="str">
        <x:v>operational</x:v>
      </x:c>
      <x:c r="T188" t="str">
        <x:v>crypto_mining</x:v>
      </x:c>
      <x:c r="U188"/>
      <x:c r="V188"/>
      <x:c r="W188"/>
      <x:c r="X188"/>
      <x:c r="Y188"/>
      <x:c r="Z188"/>
      <x:c r="AA188"/>
      <x:c r="AB188"/>
      <x:c r="AC188"/>
      <x:c r="AD188"/>
      <x:c r="AE188"/>
      <x:c r="AF188"/>
      <x:c r="AG188"/>
      <x:c r="AH188"/>
      <x:c r="AI188" t="str">
        <x:v>2026-09-03</x:v>
      </x:c>
      <x:c r="AJ188" s="85" t="str">
        <x:v>https://www.datacentermap.com/usa/tennessee/crossville/</x:v>
      </x:c>
      <x:c r="AK188" s="85" t="str">
        <x:v>https://www.datacentermap.com/usa/tennessee/crossville/</x:v>
      </x:c>
      <x:c r="AL188" s="85" t="str">
        <x:v>https://www.datacentermap.com/usa/tennessee/crossville/</x:v>
      </x:c>
      <x:c r="AM188" s="85" t="str">
        <x:v>Preserve the two public Crossville address listings without forcing an uncertain one-to-one assignment.</x:v>
      </x:c>
      <x:c r="AN188" t="str">
        <x:v>crypto_mining</x:v>
      </x:c>
      <x:c r="AO188" s="76" t="b">
        <x:v>1</x:v>
      </x:c>
      <x:c r="AP188" t="str">
        <x:v>CleanSpark, Inc.</x:v>
      </x:c>
      <x:c r="AQ188" t="str">
        <x:v>cleanspark west crossville bitcoin mining facility</x:v>
      </x:c>
      <x:c r="AR188"/>
    </x:row>
    <x:row r="189">
      <x:c r="A189" t="str">
        <x:v>datacentermap</x:v>
      </x:c>
      <x:c r="B189" t="str">
        <x:v>windstream-bristol</x:v>
      </x:c>
      <x:c r="C189" t="str">
        <x:v>Windstream Bristol</x:v>
      </x:c>
      <x:c r="D189"/>
      <x:c r="E189" t="str">
        <x:v>Windstream</x:v>
      </x:c>
      <x:c r="F189"/>
      <x:c r="G189" t="str">
        <x:v>112 6th St</x:v>
      </x:c>
      <x:c r="H189"/>
      <x:c r="I189" t="str">
        <x:v>Bristol</x:v>
      </x:c>
      <x:c r="J189" t="str">
        <x:v>Sullivan</x:v>
      </x:c>
      <x:c r="K189" t="str">
        <x:v>TN</x:v>
      </x:c>
      <x:c r="L189" t="str">
        <x:v>37620</x:v>
      </x:c>
      <x:c r="M189" t="n">
        <x:v>36.593557</x:v>
      </x:c>
      <x:c r="N189" t="n">
        <x:v>-82.183509</x:v>
      </x:c>
      <x:c r="O189" t="str">
        <x:v>address_or_site</x:v>
      </x:c>
      <x:c r="P189" t="str">
        <x:v>high</x:v>
      </x:c>
      <x:c r="Q189" t="str">
        <x:v>published facility address</x:v>
      </x:c>
      <x:c r="R189" t="str">
        <x:v>operational</x:v>
      </x:c>
      <x:c r="S189" t="str">
        <x:v>operational</x:v>
      </x:c>
      <x:c r="T189" t="str">
        <x:v>data_center</x:v>
      </x:c>
      <x:c r="U189" t="str">
        <x:v>colocation</x:v>
      </x:c>
      <x:c r="V189"/>
      <x:c r="W189"/>
      <x:c r="X189"/>
      <x:c r="Y189"/>
      <x:c r="Z189"/>
      <x:c r="AA189"/>
      <x:c r="AB189"/>
      <x:c r="AC189"/>
      <x:c r="AD189"/>
      <x:c r="AE189"/>
      <x:c r="AF189"/>
      <x:c r="AG189"/>
      <x:c r="AH189"/>
      <x:c r="AI189" t="str">
        <x:v>2026-09-03</x:v>
      </x:c>
      <x:c r="AJ189" t="str">
        <x:v>https://www.datacentermap.com/usa/tennessee/bristol/windstream-bristol/</x:v>
      </x:c>
      <x:c r="AK189" t="str">
        <x:v>https://www.datacentermap.com/usa/tennessee/</x:v>
      </x:c>
      <x:c r="AL189" t="str">
        <x:v>https://www.datacentermap.com/usa/tennessee/bristol/windstream-bristol/</x:v>
      </x:c>
      <x:c r="AM189" t="str">
        <x:v>Current directory record with exact street address.</x:v>
      </x:c>
      <x:c r="AN189" t="str">
        <x:v>core_data_center</x:v>
      </x:c>
      <x:c r="AO189" s="76" t="b">
        <x:v>1</x:v>
      </x:c>
      <x:c r="AP189" t="str">
        <x:v>windstream</x:v>
      </x:c>
      <x:c r="AQ189" t="str">
        <x:v>windstream bristol</x:v>
      </x:c>
      <x:c r="AR189" t="str">
        <x:v>112 6th st</x:v>
      </x:c>
    </x:row>
    <x:row r="190">
      <x:c r="A190" t="str">
        <x:v>datacenters.com</x:v>
      </x:c>
      <x:c r="B190" t="str">
        <x:v>windstream-bristol-tn</x:v>
      </x:c>
      <x:c r="C190" t="str">
        <x:v>Windstream: Bristol, TN Data Center</x:v>
      </x:c>
      <x:c r="D190"/>
      <x:c r="E190" t="str">
        <x:v>Windstream</x:v>
      </x:c>
      <x:c r="F190"/>
      <x:c r="G190" t="str">
        <x:v>112 6th St</x:v>
      </x:c>
      <x:c r="H190"/>
      <x:c r="I190" t="str">
        <x:v>Bristol</x:v>
      </x:c>
      <x:c r="J190" t="str">
        <x:v>Sullivan</x:v>
      </x:c>
      <x:c r="K190" t="str">
        <x:v>TN</x:v>
      </x:c>
      <x:c r="L190" t="str">
        <x:v>37620</x:v>
      </x:c>
      <x:c r="M190" t="n">
        <x:v>36.593557</x:v>
      </x:c>
      <x:c r="N190" t="n">
        <x:v>-82.183509</x:v>
      </x:c>
      <x:c r="O190" t="str">
        <x:v>address_or_site</x:v>
      </x:c>
      <x:c r="P190" t="str">
        <x:v>high</x:v>
      </x:c>
      <x:c r="Q190" t="str">
        <x:v>published facility address</x:v>
      </x:c>
      <x:c r="R190" t="str">
        <x:v>operational</x:v>
      </x:c>
      <x:c r="S190" t="str">
        <x:v>operational</x:v>
      </x:c>
      <x:c r="T190" t="str">
        <x:v>data_center</x:v>
      </x:c>
      <x:c r="U190" t="str">
        <x:v>colocation</x:v>
      </x:c>
      <x:c r="V190"/>
      <x:c r="W190"/>
      <x:c r="X190"/>
      <x:c r="Y190"/>
      <x:c r="Z190"/>
      <x:c r="AA190"/>
      <x:c r="AB190"/>
      <x:c r="AC190"/>
      <x:c r="AD190"/>
      <x:c r="AE190"/>
      <x:c r="AF190"/>
      <x:c r="AG190"/>
      <x:c r="AH190"/>
      <x:c r="AI190" t="str">
        <x:v>2026-09-03</x:v>
      </x:c>
      <x:c r="AJ190" t="str">
        <x:v>https://www.datacenters.com/windstream-bristol-tn</x:v>
      </x:c>
      <x:c r="AK190" t="str">
        <x:v>https://www.datacenters.com/providers/windstream/data-center-locations</x:v>
      </x:c>
      <x:c r="AL190" t="str">
        <x:v>https://www.datacenters.com/windstream-bristol-tn</x:v>
      </x:c>
      <x:c r="AM190" t="str">
        <x:v>Current provider-directory record for Windstream Bristol.</x:v>
      </x:c>
      <x:c r="AN190" t="str">
        <x:v>core_data_center</x:v>
      </x:c>
      <x:c r="AO190" s="76" t="b">
        <x:v>1</x:v>
      </x:c>
      <x:c r="AP190" t="str">
        <x:v>windstream</x:v>
      </x:c>
      <x:c r="AQ190" t="str">
        <x:v>windstream bristol tn data center</x:v>
      </x:c>
      <x:c r="AR190" t="str">
        <x:v>112 6th st</x:v>
      </x:c>
    </x:row>
    <x:row r="191">
      <x:c r="A191" t="str">
        <x:v>loopnet</x:v>
      </x:c>
      <x:c r="B191" t="str">
        <x:v>35214864</x:v>
      </x:c>
      <x:c r="C191" t="str">
        <x:v>Windstream Bristol</x:v>
      </x:c>
      <x:c r="D191"/>
      <x:c r="E191" t="str">
        <x:v>Windstream</x:v>
      </x:c>
      <x:c r="F191"/>
      <x:c r="G191" t="str">
        <x:v>112 6th St</x:v>
      </x:c>
      <x:c r="H191"/>
      <x:c r="I191" t="str">
        <x:v>Bristol</x:v>
      </x:c>
      <x:c r="J191" t="str">
        <x:v>Sullivan</x:v>
      </x:c>
      <x:c r="K191" t="str">
        <x:v>TN</x:v>
      </x:c>
      <x:c r="L191" t="str">
        <x:v>37620</x:v>
      </x:c>
      <x:c r="M191" t="n">
        <x:v>36.593557</x:v>
      </x:c>
      <x:c r="N191" t="n">
        <x:v>-82.183509</x:v>
      </x:c>
      <x:c r="O191" t="str">
        <x:v>address_or_site</x:v>
      </x:c>
      <x:c r="P191" t="str">
        <x:v>high</x:v>
      </x:c>
      <x:c r="Q191" t="str">
        <x:v>property listing</x:v>
      </x:c>
      <x:c r="R191" t="str">
        <x:v>operational</x:v>
      </x:c>
      <x:c r="S191" t="str">
        <x:v>operational</x:v>
      </x:c>
      <x:c r="T191" t="str">
        <x:v>data_center</x:v>
      </x:c>
      <x:c r="U191" t="str">
        <x:v>mission_critical_telecom_hosting</x:v>
      </x:c>
      <x:c r="V191"/>
      <x:c r="W191"/>
      <x:c r="X191"/>
      <x:c r="Y191" t="n">
        <x:v>85247</x:v>
      </x:c>
      <x:c r="Z191" t="n">
        <x:v>1.5</x:v>
      </x:c>
      <x:c r="AA191"/>
      <x:c r="AB191"/>
      <x:c r="AC191"/>
      <x:c r="AD191"/>
      <x:c r="AE191"/>
      <x:c r="AF191"/>
      <x:c r="AG191"/>
      <x:c r="AH191"/>
      <x:c r="AI191" t="str">
        <x:v>2026-09-03</x:v>
      </x:c>
      <x:c r="AJ191" t="str">
        <x:v>https://www.loopnet.com/Listing/112-6th-St-Bristol-TN/35214864/</x:v>
      </x:c>
      <x:c r="AK191" t="str">
        <x:v>https://www.loopnet.com/Listing/112-6th-St-Bristol-TN/35214864/</x:v>
      </x:c>
      <x:c r="AL191" t="str">
        <x:v>https://www.loopnet.com/Listing/112-6th-St-Bristol-TN/35214864/</x:v>
      </x:c>
      <x:c r="AM191" t="str">
        <x:v>Property listing identifies mission-critical telecom/data-hosting use; 85,247 SF on 1.50 acres.</x:v>
      </x:c>
      <x:c r="AN191" t="str">
        <x:v>core_data_center</x:v>
      </x:c>
      <x:c r="AO191" s="76" t="b">
        <x:v>1</x:v>
      </x:c>
      <x:c r="AP191" t="str">
        <x:v>windstream</x:v>
      </x:c>
      <x:c r="AQ191" t="str">
        <x:v>windstream bristol</x:v>
      </x:c>
      <x:c r="AR191" t="str">
        <x:v>112 6th st</x:v>
      </x:c>
    </x:row>
    <x:row r="192">
      <x:c r="A192" t="str">
        <x:v>datacentermap</x:v>
      </x:c>
      <x:c r="B192" t="str">
        <x:v>cleanspark-jellico</x:v>
      </x:c>
      <x:c r="C192" t="str">
        <x:v>CleanSpark Jellico</x:v>
      </x:c>
      <x:c r="D192"/>
      <x:c r="E192" t="str">
        <x:v>CleanSpark</x:v>
      </x:c>
      <x:c r="F192"/>
      <x:c r="G192" t="str">
        <x:v>131-181 Douglas Ln</x:v>
      </x:c>
      <x:c r="H192"/>
      <x:c r="I192" t="str">
        <x:v>Jellico</x:v>
      </x:c>
      <x:c r="J192" t="str">
        <x:v>Campbell</x:v>
      </x:c>
      <x:c r="K192" t="str">
        <x:v>TN</x:v>
      </x:c>
      <x:c r="L192" t="str">
        <x:v>37762</x:v>
      </x:c>
      <x:c r="M192"/>
      <x:c r="N192"/>
      <x:c r="O192" t="str">
        <x:v>address_or_site</x:v>
      </x:c>
      <x:c r="P192" t="str">
        <x:v>high</x:v>
      </x:c>
      <x:c r="Q192" t="str">
        <x:v>published facility address</x:v>
      </x:c>
      <x:c r="R192" t="str">
        <x:v>operational</x:v>
      </x:c>
      <x:c r="S192" t="str">
        <x:v>operational</x:v>
      </x:c>
      <x:c r="T192" t="str">
        <x:v>crypto_mining</x:v>
      </x:c>
      <x:c r="U192" t="str">
        <x:v>bitcoin_mining</x:v>
      </x:c>
      <x:c r="V192" t="n">
        <x:v>25</x:v>
      </x:c>
      <x:c r="W192"/>
      <x:c r="X192"/>
      <x:c r="Y192"/>
      <x:c r="Z192"/>
      <x:c r="AA192"/>
      <x:c r="AB192"/>
      <x:c r="AC192"/>
      <x:c r="AD192"/>
      <x:c r="AE192"/>
      <x:c r="AF192"/>
      <x:c r="AG192"/>
      <x:c r="AH192"/>
      <x:c r="AI192" t="str">
        <x:v>2026-09-03</x:v>
      </x:c>
      <x:c r="AJ192" t="str">
        <x:v>https://www.datacentermap.com/usa/tennessee/knoxville/cleanspark-jellico/</x:v>
      </x:c>
      <x:c r="AK192" t="str">
        <x:v>https://www.datacentermap.com/usa/tennessee/knoxville/</x:v>
      </x:c>
      <x:c r="AL192" t="str">
        <x:v>https://www.datacentermap.com/usa/tennessee/knoxville/cleanspark-jellico/</x:v>
      </x:c>
      <x:c r="AM192" t="str">
        <x:v>Address and 25 MW used to enrich TNDC-016.</x:v>
      </x:c>
      <x:c r="AN192" t="str">
        <x:v>crypto_mining</x:v>
      </x:c>
      <x:c r="AO192" s="76" t="b">
        <x:v>1</x:v>
      </x:c>
      <x:c r="AP192" t="str">
        <x:v>cleanspark</x:v>
      </x:c>
      <x:c r="AQ192" t="str">
        <x:v>cleanspark jellico</x:v>
      </x:c>
      <x:c r="AR192" t="str">
        <x:v>131 181 douglas ln</x:v>
      </x:c>
    </x:row>
    <x:row r="193">
      <x:c r="A193" t="str">
        <x:v>datacentermap</x:v>
      </x:c>
      <x:c r="B193" t="str">
        <x:v>cleanspark-lenoir-city</x:v>
      </x:c>
      <x:c r="C193" t="str">
        <x:v>CleanSpark Lenoir City</x:v>
      </x:c>
      <x:c r="D193"/>
      <x:c r="E193" t="str">
        <x:v>CleanSpark</x:v>
      </x:c>
      <x:c r="F193"/>
      <x:c r="G193" t="str">
        <x:v>14250 Hickory Creek Rd</x:v>
      </x:c>
      <x:c r="H193"/>
      <x:c r="I193" t="str">
        <x:v>Lenoir City</x:v>
      </x:c>
      <x:c r="J193" t="str">
        <x:v>Loudon</x:v>
      </x:c>
      <x:c r="K193" t="str">
        <x:v>TN</x:v>
      </x:c>
      <x:c r="L193" t="str">
        <x:v>37771</x:v>
      </x:c>
      <x:c r="M193"/>
      <x:c r="N193"/>
      <x:c r="O193" t="str">
        <x:v>address_or_site</x:v>
      </x:c>
      <x:c r="P193" t="str">
        <x:v>high</x:v>
      </x:c>
      <x:c r="Q193" t="str">
        <x:v>published facility address</x:v>
      </x:c>
      <x:c r="R193" t="str">
        <x:v>operational</x:v>
      </x:c>
      <x:c r="S193" t="str">
        <x:v>operational</x:v>
      </x:c>
      <x:c r="T193" t="str">
        <x:v>crypto_mining</x:v>
      </x:c>
      <x:c r="U193" t="str">
        <x:v>bitcoin_mining</x:v>
      </x:c>
      <x:c r="V193" t="n">
        <x:v>40</x:v>
      </x:c>
      <x:c r="W193"/>
      <x:c r="X193"/>
      <x:c r="Y193"/>
      <x:c r="Z193"/>
      <x:c r="AA193"/>
      <x:c r="AB193"/>
      <x:c r="AC193"/>
      <x:c r="AD193"/>
      <x:c r="AE193"/>
      <x:c r="AF193"/>
      <x:c r="AG193"/>
      <x:c r="AH193"/>
      <x:c r="AI193" t="str">
        <x:v>2026-09-03</x:v>
      </x:c>
      <x:c r="AJ193" t="str">
        <x:v>https://www.datacentermap.com/usa/tennessee/knoxville/cleanspark-lenoir-city/specs/ | https://www.sec.gov/Archives/edgar/data/1830029/000095017024091972/grdi-ex10_2.htm</x:v>
      </x:c>
      <x:c r="AK193" t="str">
        <x:v>https://www.datacentermap.com/usa/tennessee/knoxville/</x:v>
      </x:c>
      <x:c r="AL193" t="str">
        <x:v>https://www.datacentermap.com/usa/tennessee/knoxville/cleanspark-lenoir-city/specs/</x:v>
      </x:c>
      <x:c r="AM193" t="str">
        <x:v>Address and 40 MW used to enrich TNDC-019; address independently supported by SEC-filed TVA/LCUB agreement.</x:v>
      </x:c>
      <x:c r="AN193" t="str">
        <x:v>crypto_mining</x:v>
      </x:c>
      <x:c r="AO193" s="76" t="b">
        <x:v>1</x:v>
      </x:c>
      <x:c r="AP193" t="str">
        <x:v>cleanspark</x:v>
      </x:c>
      <x:c r="AQ193" t="str">
        <x:v>cleanspark lenoir city</x:v>
      </x:c>
      <x:c r="AR193" t="str">
        <x:v>14250 hickory creek rd</x:v>
      </x:c>
    </x:row>
    <x:row r="194">
      <x:c r="A194" t="str">
        <x:v>datacentermap</x:v>
      </x:c>
      <x:c r="B194" t="str">
        <x:v>cleanspark-new-tazewell</x:v>
      </x:c>
      <x:c r="C194" t="str">
        <x:v>CleanSpark New Tazewell</x:v>
      </x:c>
      <x:c r="D194"/>
      <x:c r="E194" t="str">
        <x:v>CleanSpark</x:v>
      </x:c>
      <x:c r="F194"/>
      <x:c r="G194" t="str">
        <x:v>3750 Tennessee-33</x:v>
      </x:c>
      <x:c r="H194"/>
      <x:c r="I194" t="str">
        <x:v>New Tazewell</x:v>
      </x:c>
      <x:c r="J194" t="str">
        <x:v>Claiborne</x:v>
      </x:c>
      <x:c r="K194" t="str">
        <x:v>TN</x:v>
      </x:c>
      <x:c r="L194" t="str">
        <x:v>37825</x:v>
      </x:c>
      <x:c r="M194"/>
      <x:c r="N194"/>
      <x:c r="O194" t="str">
        <x:v>address_or_site</x:v>
      </x:c>
      <x:c r="P194" t="str">
        <x:v>high</x:v>
      </x:c>
      <x:c r="Q194" t="str">
        <x:v>published facility address</x:v>
      </x:c>
      <x:c r="R194" t="str">
        <x:v>operational</x:v>
      </x:c>
      <x:c r="S194" t="str">
        <x:v>operational</x:v>
      </x:c>
      <x:c r="T194" t="str">
        <x:v>crypto_mining</x:v>
      </x:c>
      <x:c r="U194" t="str">
        <x:v>bitcoin_mining</x:v>
      </x:c>
      <x:c r="V194" t="n">
        <x:v>20</x:v>
      </x:c>
      <x:c r="W194"/>
      <x:c r="X194"/>
      <x:c r="Y194"/>
      <x:c r="Z194"/>
      <x:c r="AA194"/>
      <x:c r="AB194"/>
      <x:c r="AC194"/>
      <x:c r="AD194"/>
      <x:c r="AE194"/>
      <x:c r="AF194"/>
      <x:c r="AG194"/>
      <x:c r="AH194"/>
      <x:c r="AI194" t="str">
        <x:v>2026-09-03</x:v>
      </x:c>
      <x:c r="AJ194" t="str">
        <x:v>https://www.datacentermap.com/usa/tennessee/knoxville/cleanspark-new-tazewell/</x:v>
      </x:c>
      <x:c r="AK194" t="str">
        <x:v>https://www.datacentermap.com/usa/tennessee/knoxville/</x:v>
      </x:c>
      <x:c r="AL194" t="str">
        <x:v>https://www.datacentermap.com/usa/tennessee/knoxville/cleanspark-new-tazewell/</x:v>
      </x:c>
      <x:c r="AM194" t="str">
        <x:v>Address and 20 MW used to enrich TNDC-043.</x:v>
      </x:c>
      <x:c r="AN194" t="str">
        <x:v>crypto_mining</x:v>
      </x:c>
      <x:c r="AO194" s="76" t="b">
        <x:v>1</x:v>
      </x:c>
      <x:c r="AP194" t="str">
        <x:v>cleanspark</x:v>
      </x:c>
      <x:c r="AQ194" t="str">
        <x:v>cleanspark new tazewell</x:v>
      </x:c>
      <x:c r="AR194" t="str">
        <x:v>3750 tennessee 33</x:v>
      </x:c>
    </x:row>
    <x:row r="195">
      <x:c r="A195" t="str">
        <x:v>datacentermap</x:v>
      </x:c>
      <x:c r="B195" t="str">
        <x:v>cleanspark-winfield</x:v>
      </x:c>
      <x:c r="C195" t="str">
        <x:v>CleanSpark Winfield</x:v>
      </x:c>
      <x:c r="D195"/>
      <x:c r="E195" t="str">
        <x:v>CleanSpark</x:v>
      </x:c>
      <x:c r="F195"/>
      <x:c r="G195" t="str">
        <x:v>708 Pine Grove Rd</x:v>
      </x:c>
      <x:c r="H195"/>
      <x:c r="I195" t="str">
        <x:v>Winfield</x:v>
      </x:c>
      <x:c r="J195" t="str">
        <x:v>Scott</x:v>
      </x:c>
      <x:c r="K195" t="str">
        <x:v>TN</x:v>
      </x:c>
      <x:c r="L195" t="str">
        <x:v>37892</x:v>
      </x:c>
      <x:c r="M195" t="n">
        <x:v>36.5467887</x:v>
      </x:c>
      <x:c r="N195" t="n">
        <x:v>-84.4521787</x:v>
      </x:c>
      <x:c r="O195" t="str">
        <x:v>address_or_site</x:v>
      </x:c>
      <x:c r="P195" t="str">
        <x:v>high</x:v>
      </x:c>
      <x:c r="Q195" t="str">
        <x:v>published facility address</x:v>
      </x:c>
      <x:c r="R195" t="str">
        <x:v>operational</x:v>
      </x:c>
      <x:c r="S195" t="str">
        <x:v>operational</x:v>
      </x:c>
      <x:c r="T195" t="str">
        <x:v>crypto_mining</x:v>
      </x:c>
      <x:c r="U195" t="str">
        <x:v>bitcoin_mining</x:v>
      </x:c>
      <x:c r="V195"/>
      <x:c r="W195"/>
      <x:c r="X195"/>
      <x:c r="Y195"/>
      <x:c r="Z195"/>
      <x:c r="AA195"/>
      <x:c r="AB195"/>
      <x:c r="AC195"/>
      <x:c r="AD195"/>
      <x:c r="AE195"/>
      <x:c r="AF195"/>
      <x:c r="AG195"/>
      <x:c r="AH195"/>
      <x:c r="AI195" t="str">
        <x:v>2026-09-03</x:v>
      </x:c>
      <x:c r="AJ195" t="str">
        <x:v>https://www.datacentermap.com/usa/tennessee/knoxville/</x:v>
      </x:c>
      <x:c r="AK195" t="str">
        <x:v>https://www.datacentermap.com/usa/tennessee/knoxville/</x:v>
      </x:c>
      <x:c r="AL195" t="str">
        <x:v>https://www.datacentermap.com/usa/tennessee/knoxville/</x:v>
      </x:c>
      <x:c r="AM195" t="str">
        <x:v>Published address used to enrich TNDC-045.</x:v>
      </x:c>
      <x:c r="AN195" t="str">
        <x:v>crypto_mining</x:v>
      </x:c>
      <x:c r="AO195" s="76" t="b">
        <x:v>1</x:v>
      </x:c>
      <x:c r="AP195" t="str">
        <x:v>cleanspark</x:v>
      </x:c>
      <x:c r="AQ195" t="str">
        <x:v>cleanspark winfield</x:v>
      </x:c>
      <x:c r="AR195" t="str">
        <x:v>708 pine grove rd</x:v>
      </x:c>
    </x:row>
    <x:row r="196">
      <x:c r="A196" t="str">
        <x:v>datacentermap</x:v>
      </x:c>
      <x:c r="B196" t="str">
        <x:v>cleanspark-mountain-city</x:v>
      </x:c>
      <x:c r="C196" t="str">
        <x:v>CleanSpark Mountain City</x:v>
      </x:c>
      <x:c r="D196"/>
      <x:c r="E196" t="str">
        <x:v>CleanSpark</x:v>
      </x:c>
      <x:c r="F196"/>
      <x:c r="G196" t="str">
        <x:v>178 Rainbow Rd</x:v>
      </x:c>
      <x:c r="H196"/>
      <x:c r="I196" t="str">
        <x:v>Mountain City</x:v>
      </x:c>
      <x:c r="J196" t="str">
        <x:v>Johnson</x:v>
      </x:c>
      <x:c r="K196" t="str">
        <x:v>TN</x:v>
      </x:c>
      <x:c r="L196" t="str">
        <x:v>37683</x:v>
      </x:c>
      <x:c r="M196"/>
      <x:c r="N196"/>
      <x:c r="O196" t="str">
        <x:v>address_or_site</x:v>
      </x:c>
      <x:c r="P196" t="str">
        <x:v>high</x:v>
      </x:c>
      <x:c r="Q196" t="str">
        <x:v>published proposed site</x:v>
      </x:c>
      <x:c r="R196" t="str">
        <x:v>proposed</x:v>
      </x:c>
      <x:c r="S196" t="str">
        <x:v>cancelled</x:v>
      </x:c>
      <x:c r="T196" t="str">
        <x:v>crypto_mining</x:v>
      </x:c>
      <x:c r="U196" t="str">
        <x:v>bitcoin_mining</x:v>
      </x:c>
      <x:c r="V196" t="n">
        <x:v>30</x:v>
      </x:c>
      <x:c r="W196"/>
      <x:c r="X196"/>
      <x:c r="Y196"/>
      <x:c r="Z196" t="n">
        <x:v>50</x:v>
      </x:c>
      <x:c r="AA196"/>
      <x:c r="AB196"/>
      <x:c r="AC196"/>
      <x:c r="AD196"/>
      <x:c r="AE196"/>
      <x:c r="AF196"/>
      <x:c r="AG196"/>
      <x:c r="AH196"/>
      <x:c r="AI196" t="str">
        <x:v>2026-09-03</x:v>
      </x:c>
      <x:c r="AJ196" t="str">
        <x:v>https://www.datacentermap.com/usa/tennessee/knoxville/cleanspark-mountain-city/</x:v>
      </x:c>
      <x:c r="AK196" t="str">
        <x:v>https://www.datacentermap.com/usa/tennessee/knoxville/</x:v>
      </x:c>
      <x:c r="AL196" t="str">
        <x:v>https://www.datacentermap.com/usa/tennessee/knoxville/cleanspark-mountain-city/</x:v>
      </x:c>
      <x:c r="AM196" t="str">
        <x:v>Directory proposal reconciled to cancelled/not advanced based on local-government reporting; retained outside Master.</x:v>
      </x:c>
      <x:c r="AN196" t="str">
        <x:v>crypto_mining</x:v>
      </x:c>
      <x:c r="AO196" s="76" t="b">
        <x:v>0</x:v>
      </x:c>
      <x:c r="AP196" t="str">
        <x:v>cleanspark</x:v>
      </x:c>
      <x:c r="AQ196" t="str">
        <x:v>cleanspark mountain city</x:v>
      </x:c>
      <x:c r="AR196" t="str">
        <x:v>178 rainbow rd</x:v>
      </x:c>
    </x:row>
    <x:row r="197">
      <x:c r="A197" t="str">
        <x:v>lpm.org</x:v>
      </x:c>
      <x:c r="B197" t="str">
        <x:v>mountain-city-rejected-2025-08-15</x:v>
      </x:c>
      <x:c r="C197" t="str">
        <x:v>CleanSpark Mountain City 30 MW Bitcoin Mining Proposal</x:v>
      </x:c>
      <x:c r="D197"/>
      <x:c r="E197" t="str">
        <x:v>CleanSpark</x:v>
      </x:c>
      <x:c r="F197"/>
      <x:c r="G197" t="str">
        <x:v>178 Rainbow Rd</x:v>
      </x:c>
      <x:c r="H197"/>
      <x:c r="I197" t="str">
        <x:v>Mountain City</x:v>
      </x:c>
      <x:c r="J197" t="str">
        <x:v>Johnson</x:v>
      </x:c>
      <x:c r="K197" t="str">
        <x:v>TN</x:v>
      </x:c>
      <x:c r="L197" t="str">
        <x:v>37683</x:v>
      </x:c>
      <x:c r="M197"/>
      <x:c r="N197"/>
      <x:c r="O197" t="str">
        <x:v>address_or_site</x:v>
      </x:c>
      <x:c r="P197" t="str">
        <x:v>high</x:v>
      </x:c>
      <x:c r="Q197" t="str">
        <x:v>local reporting and board action</x:v>
      </x:c>
      <x:c r="R197" t="str">
        <x:v>cancelled</x:v>
      </x:c>
      <x:c r="S197" t="str">
        <x:v>cancelled</x:v>
      </x:c>
      <x:c r="T197" t="str">
        <x:v>crypto_mining</x:v>
      </x:c>
      <x:c r="U197" t="str">
        <x:v>bitcoin_mining</x:v>
      </x:c>
      <x:c r="V197" t="n">
        <x:v>30</x:v>
      </x:c>
      <x:c r="W197"/>
      <x:c r="X197"/>
      <x:c r="Y197"/>
      <x:c r="Z197" t="n">
        <x:v>50</x:v>
      </x:c>
      <x:c r="AA197"/>
      <x:c r="AB197"/>
      <x:c r="AC197"/>
      <x:c r="AD197"/>
      <x:c r="AE197"/>
      <x:c r="AF197"/>
      <x:c r="AG197"/>
      <x:c r="AH197"/>
      <x:c r="AI197" t="str">
        <x:v>2026-09-03</x:v>
      </x:c>
      <x:c r="AJ197" t="str">
        <x:v>https://www.lpm.org/news/2025-08-15/tennessee-town-pushes-back-over-proposed-bitcoin-mine-and-wins</x:v>
      </x:c>
      <x:c r="AK197" t="str">
        <x:v>https://www.lpm.org/news/2025-08-15/tennessee-town-pushes-back-over-proposed-bitcoin-mine-and-wins</x:v>
      </x:c>
      <x:c r="AL197" t="str">
        <x:v>https://www.lpm.org/news/2025-08-15/tennessee-town-pushes-back-over-proposed-bitcoin-mine-and-wins</x:v>
      </x:c>
      <x:c r="AM197" t="str">
        <x:v>Local reporting records the board's refusal to advance rezoning; kept outside Master.</x:v>
      </x:c>
      <x:c r="AN197" t="str">
        <x:v>crypto_mining</x:v>
      </x:c>
      <x:c r="AO197" s="76" t="b">
        <x:v>0</x:v>
      </x:c>
      <x:c r="AP197" t="str">
        <x:v>cleanspark</x:v>
      </x:c>
      <x:c r="AQ197" t="str">
        <x:v>cleanspark mountain city 30 mw bitcoin mining proposal</x:v>
      </x:c>
      <x:c r="AR197" t="str">
        <x:v>178 rainbow rd</x:v>
      </x:c>
    </x:row>
    <x:row r="198">
      <x:c r="A198" t="str">
        <x:v>sec.gov</x:v>
      </x:c>
      <x:c r="B198" t="str">
        <x:v>clsk-ex10_4:campbell-junction</x:v>
      </x:c>
      <x:c r="C198" t="str">
        <x:v>CleanSpark Campbell Junction Bitcoin Mining Facility</x:v>
      </x:c>
      <x:c r="D198"/>
      <x:c r="E198" t="str">
        <x:v>CleanSpark</x:v>
      </x:c>
      <x:c r="F198"/>
      <x:c r="G198" t="str">
        <x:v>5784 Plateau Rd</x:v>
      </x:c>
      <x:c r="H198"/>
      <x:c r="I198" t="str">
        <x:v>Crossville</x:v>
      </x:c>
      <x:c r="J198" t="str">
        <x:v>Cumberland</x:v>
      </x:c>
      <x:c r="K198" t="str">
        <x:v>TN</x:v>
      </x:c>
      <x:c r="L198" t="str">
        <x:v>38571</x:v>
      </x:c>
      <x:c r="M198"/>
      <x:c r="N198"/>
      <x:c r="O198" t="str">
        <x:v>address_or_site</x:v>
      </x:c>
      <x:c r="P198" t="str">
        <x:v>high</x:v>
      </x:c>
      <x:c r="Q198" t="str">
        <x:v>SEC-filed real-property exhibit</x:v>
      </x:c>
      <x:c r="R198" t="str">
        <x:v>operational</x:v>
      </x:c>
      <x:c r="S198" t="str">
        <x:v>operational</x:v>
      </x:c>
      <x:c r="T198" t="str">
        <x:v>crypto_mining</x:v>
      </x:c>
      <x:c r="U198" t="str">
        <x:v>bitcoin_mining</x:v>
      </x:c>
      <x:c r="V198"/>
      <x:c r="W198"/>
      <x:c r="X198"/>
      <x:c r="Y198"/>
      <x:c r="Z198"/>
      <x:c r="AA198"/>
      <x:c r="AB198"/>
      <x:c r="AC198"/>
      <x:c r="AD198"/>
      <x:c r="AE198"/>
      <x:c r="AF198"/>
      <x:c r="AG198"/>
      <x:c r="AH198"/>
      <x:c r="AI198" t="str">
        <x:v>2026-09-04</x:v>
      </x:c>
      <x:c r="AJ198" t="str">
        <x:v>https://www.sec.gov/Archives/edgar/data/827876/000095017024105354/clsk-ex10_4.htm</x:v>
      </x:c>
      <x:c r="AK198" t="str">
        <x:v>https://www.sec.gov/Archives/edgar/data/827876/000095017024105354/clsk-ex10_4.htm</x:v>
      </x:c>
      <x:c r="AL198" t="str">
        <x:v>https://www.sec.gov/Archives/edgar/data/827876/000095017024105354/clsk-ex10_4.htm</x:v>
      </x:c>
      <x:c r="AM198" t="str">
        <x:v>SEC filing identifies Campbell Junction Property.</x:v>
      </x:c>
      <x:c r="AN198" t="str">
        <x:v>crypto_mining</x:v>
      </x:c>
      <x:c r="AO198" s="76" t="b">
        <x:v>1</x:v>
      </x:c>
      <x:c r="AP198" t="str">
        <x:v>cleanspark</x:v>
      </x:c>
      <x:c r="AQ198" t="str">
        <x:v>cleanspark campbell junction bitcoin mining facility</x:v>
      </x:c>
      <x:c r="AR198" t="str">
        <x:v>5784 plateau rd</x:v>
      </x:c>
    </x:row>
    <x:row r="199">
      <x:c r="A199" t="str">
        <x:v>sec.gov</x:v>
      </x:c>
      <x:c r="B199" t="str">
        <x:v>clsk-ex10_4:west-crossville</x:v>
      </x:c>
      <x:c r="C199" t="str">
        <x:v>CleanSpark West Crossville Bitcoin Mining Facility</x:v>
      </x:c>
      <x:c r="D199"/>
      <x:c r="E199" t="str">
        <x:v>CleanSpark</x:v>
      </x:c>
      <x:c r="F199"/>
      <x:c r="G199" t="str">
        <x:v>268 Sparta Hwy</x:v>
      </x:c>
      <x:c r="H199"/>
      <x:c r="I199" t="str">
        <x:v>Crossville</x:v>
      </x:c>
      <x:c r="J199" t="str">
        <x:v>Cumberland</x:v>
      </x:c>
      <x:c r="K199" t="str">
        <x:v>TN</x:v>
      </x:c>
      <x:c r="L199" t="str">
        <x:v>38572</x:v>
      </x:c>
      <x:c r="M199"/>
      <x:c r="N199"/>
      <x:c r="O199" t="str">
        <x:v>address_or_site</x:v>
      </x:c>
      <x:c r="P199" t="str">
        <x:v>high</x:v>
      </x:c>
      <x:c r="Q199" t="str">
        <x:v>SEC-filed real-property exhibit</x:v>
      </x:c>
      <x:c r="R199" t="str">
        <x:v>operational</x:v>
      </x:c>
      <x:c r="S199" t="str">
        <x:v>operational</x:v>
      </x:c>
      <x:c r="T199" t="str">
        <x:v>crypto_mining</x:v>
      </x:c>
      <x:c r="U199" t="str">
        <x:v>bitcoin_mining</x:v>
      </x:c>
      <x:c r="V199"/>
      <x:c r="W199"/>
      <x:c r="X199"/>
      <x:c r="Y199"/>
      <x:c r="Z199"/>
      <x:c r="AA199"/>
      <x:c r="AB199"/>
      <x:c r="AC199"/>
      <x:c r="AD199"/>
      <x:c r="AE199"/>
      <x:c r="AF199"/>
      <x:c r="AG199"/>
      <x:c r="AH199"/>
      <x:c r="AI199" t="str">
        <x:v>2026-09-04</x:v>
      </x:c>
      <x:c r="AJ199" t="str">
        <x:v>https://www.sec.gov/Archives/edgar/data/827876/000095017024105354/clsk-ex10_4.htm</x:v>
      </x:c>
      <x:c r="AK199" t="str">
        <x:v>https://www.sec.gov/Archives/edgar/data/827876/000095017024105354/clsk-ex10_4.htm</x:v>
      </x:c>
      <x:c r="AL199" t="str">
        <x:v>https://www.sec.gov/Archives/edgar/data/827876/000095017024105354/clsk-ex10_4.htm</x:v>
      </x:c>
      <x:c r="AM199" t="str">
        <x:v>SEC filing identifies West Crossville property.</x:v>
      </x:c>
      <x:c r="AN199" t="str">
        <x:v>crypto_mining</x:v>
      </x:c>
      <x:c r="AO199" s="76" t="b">
        <x:v>1</x:v>
      </x:c>
      <x:c r="AP199" t="str">
        <x:v>cleanspark</x:v>
      </x:c>
      <x:c r="AQ199" t="str">
        <x:v>cleanspark west crossville bitcoin mining facility</x:v>
      </x:c>
      <x:c r="AR199" t="str">
        <x:v>268 sparta hwy</x:v>
      </x:c>
    </x:row>
    <x:row r="200">
      <x:c r="A200" t="str">
        <x:v>nics.utk.edu</x:v>
      </x:c>
      <x:c r="B200" t="str">
        <x:v>contact:ornl-bldg-5100</x:v>
      </x:c>
      <x:c r="C200" t="str">
        <x:v>National Institute for Computational Sciences Facility</x:v>
      </x:c>
      <x:c r="D200"/>
      <x:c r="E200" t="str">
        <x:v>National Institute for Computational Sciences</x:v>
      </x:c>
      <x:c r="F200"/>
      <x:c r="G200" t="str">
        <x:v>One Bethel Valley Rd, Bldg 5100</x:v>
      </x:c>
      <x:c r="H200"/>
      <x:c r="I200" t="str">
        <x:v>Oak Ridge</x:v>
      </x:c>
      <x:c r="J200" t="str">
        <x:v>Roane</x:v>
      </x:c>
      <x:c r="K200" t="str">
        <x:v>TN</x:v>
      </x:c>
      <x:c r="L200" t="str">
        <x:v>37830</x:v>
      </x:c>
      <x:c r="M200" t="n">
        <x:v>35.9313055556</x:v>
      </x:c>
      <x:c r="N200" t="n">
        <x:v>-84.3104166667</x:v>
      </x:c>
      <x:c r="O200" t="str">
        <x:v>approximate_site</x:v>
      </x:c>
      <x:c r="P200" t="str">
        <x:v>medium</x:v>
      </x:c>
      <x:c r="Q200" t="str">
        <x:v>official campus address + ORNL visitor-center GPS</x:v>
      </x:c>
      <x:c r="R200" t="str">
        <x:v>operational</x:v>
      </x:c>
      <x:c r="S200" t="str">
        <x:v>operational</x:v>
      </x:c>
      <x:c r="T200" t="str">
        <x:v>data_center</x:v>
      </x:c>
      <x:c r="U200"/>
      <x:c r="V200"/>
      <x:c r="W200"/>
      <x:c r="X200"/>
      <x:c r="Y200"/>
      <x:c r="Z200"/>
      <x:c r="AA200"/>
      <x:c r="AB200"/>
      <x:c r="AC200"/>
      <x:c r="AD200"/>
      <x:c r="AE200"/>
      <x:c r="AF200"/>
      <x:c r="AG200"/>
      <x:c r="AH200"/>
      <x:c r="AI200" t="str">
        <x:v>2026-09-04</x:v>
      </x:c>
      <x:c r="AJ200" t="str">
        <x:v>https://nics.utk.edu/contact/ | https://laboremploymenttraining.ornl.gov/location/</x:v>
      </x:c>
      <x:c r="AK200" t="str">
        <x:v>https://nics.utk.edu/contact/</x:v>
      </x:c>
      <x:c r="AL200" t="str">
        <x:v>https://nics.utk.edu/contact/</x:v>
      </x:c>
      <x:c r="AM200" t="str">
        <x:v>GPS is campus-level.</x:v>
      </x:c>
      <x:c r="AN200" t="str">
        <x:v>core_data_center</x:v>
      </x:c>
      <x:c r="AO200" s="76" t="b">
        <x:v>0</x:v>
      </x:c>
      <x:c r="AP200" t="str">
        <x:v>national institute for computational sciences</x:v>
      </x:c>
      <x:c r="AQ200" t="str">
        <x:v>national institute for computational sciences facility</x:v>
      </x:c>
      <x:c r="AR200" t="str">
        <x:v>one bethel valley rd bldg 5100</x:v>
      </x:c>
    </x:row>
    <x:row r="201">
      <x:c r="A201" t="str">
        <x:v>vanderbilt.edu</x:v>
      </x:c>
      <x:c r="B201" t="str">
        <x:v>accre-location:hill-center</x:v>
      </x:c>
      <x:c r="C201" t="str">
        <x:v>Vanderbilt ACCRE Data Center Rooms</x:v>
      </x:c>
      <x:c r="D201"/>
      <x:c r="E201" t="str">
        <x:v>Vanderbilt University</x:v>
      </x:c>
      <x:c r="F201"/>
      <x:c r="G201" t="str">
        <x:v>1231 18th Avenue South (Hill Center, Suite 134)</x:v>
      </x:c>
      <x:c r="H201"/>
      <x:c r="I201" t="str">
        <x:v>Nashville</x:v>
      </x:c>
      <x:c r="J201" t="str">
        <x:v>Davidson</x:v>
      </x:c>
      <x:c r="K201" t="str">
        <x:v>TN</x:v>
      </x:c>
      <x:c r="L201" t="str">
        <x:v>37212</x:v>
      </x:c>
      <x:c r="M201"/>
      <x:c r="N201"/>
      <x:c r="O201" t="str">
        <x:v>address_or_site</x:v>
      </x:c>
      <x:c r="P201" t="str">
        <x:v>medium</x:v>
      </x:c>
      <x:c r="Q201" t="str">
        <x:v>official ACCRE organizational location</x:v>
      </x:c>
      <x:c r="R201" t="str">
        <x:v>operational</x:v>
      </x:c>
      <x:c r="S201" t="str">
        <x:v>operational</x:v>
      </x:c>
      <x:c r="T201" t="str">
        <x:v>data_center</x:v>
      </x:c>
      <x:c r="U201"/>
      <x:c r="V201"/>
      <x:c r="W201"/>
      <x:c r="X201"/>
      <x:c r="Y201"/>
      <x:c r="Z201"/>
      <x:c r="AA201"/>
      <x:c r="AB201"/>
      <x:c r="AC201"/>
      <x:c r="AD201"/>
      <x:c r="AE201"/>
      <x:c r="AF201"/>
      <x:c r="AG201"/>
      <x:c r="AH201"/>
      <x:c r="AI201" t="str">
        <x:v>2026-09-04</x:v>
      </x:c>
      <x:c r="AJ201" t="str">
        <x:v>https://www.vanderbilt.edu/accre/location/</x:v>
      </x:c>
      <x:c r="AK201" t="str">
        <x:v>https://www.vanderbilt.edu/accre/location/</x:v>
      </x:c>
      <x:c r="AL201" t="str">
        <x:v>https://www.vanderbilt.edu/accre/location/</x:v>
      </x:c>
      <x:c r="AM201" t="str">
        <x:v>Official ACCRE location; room GPS not established.</x:v>
      </x:c>
      <x:c r="AN201" t="str">
        <x:v>core_data_center</x:v>
      </x:c>
      <x:c r="AO201" s="76" t="b">
        <x:v>0</x:v>
      </x:c>
      <x:c r="AP201" t="str">
        <x:v>vanderbilt university</x:v>
      </x:c>
      <x:c r="AQ201" t="str">
        <x:v>vanderbilt accre data center rooms</x:v>
      </x:c>
      <x:c r="AR201" t="str">
        <x:v>1231 18th avenue south</x:v>
      </x:c>
    </x:row>
    <x:row r="202">
      <x:c r="A202" t="str">
        <x:v>merchantcircle</x:v>
      </x:c>
      <x:c r="B202" t="str">
        <x:v>1020-w-college-st-murfreesboro</x:v>
      </x:c>
      <x:c r="C202" t="str">
        <x:v>Data Suites Murfreesboro</x:v>
      </x:c>
      <x:c r="D202"/>
      <x:c r="E202" t="str">
        <x:v>Data Suites</x:v>
      </x:c>
      <x:c r="F202"/>
      <x:c r="G202" t="str">
        <x:v>1020 W College St</x:v>
      </x:c>
      <x:c r="H202"/>
      <x:c r="I202" t="str">
        <x:v>Murfreesboro</x:v>
      </x:c>
      <x:c r="J202" t="str">
        <x:v>Rutherford</x:v>
      </x:c>
      <x:c r="K202" t="str">
        <x:v>TN</x:v>
      </x:c>
      <x:c r="L202" t="str">
        <x:v>37129</x:v>
      </x:c>
      <x:c r="M202" t="n">
        <x:v>35.856076</x:v>
      </x:c>
      <x:c r="N202" t="n">
        <x:v>-86.405338</x:v>
      </x:c>
      <x:c r="O202" t="str">
        <x:v>address_or_site</x:v>
      </x:c>
      <x:c r="P202" t="str">
        <x:v>high</x:v>
      </x:c>
      <x:c r="Q202" t="str">
        <x:v>address-level public geocode</x:v>
      </x:c>
      <x:c r="R202" t="str">
        <x:v>operational</x:v>
      </x:c>
      <x:c r="S202" t="str">
        <x:v>operational</x:v>
      </x:c>
      <x:c r="T202" t="str">
        <x:v>data_center</x:v>
      </x:c>
      <x:c r="U202"/>
      <x:c r="V202"/>
      <x:c r="W202"/>
      <x:c r="X202"/>
      <x:c r="Y202"/>
      <x:c r="Z202"/>
      <x:c r="AA202"/>
      <x:c r="AB202"/>
      <x:c r="AC202"/>
      <x:c r="AD202"/>
      <x:c r="AE202"/>
      <x:c r="AF202"/>
      <x:c r="AG202"/>
      <x:c r="AH202"/>
      <x:c r="AI202" t="str">
        <x:v>2026-09-04</x:v>
      </x:c>
      <x:c r="AJ202" t="str">
        <x:v>https://www.merchantcircle.com/tn-murfreesboro/retail-shopping/clothing/military-surplus</x:v>
      </x:c>
      <x:c r="AK202" t="str">
        <x:v>https://www.merchantcircle.com/tn-murfreesboro/retail-shopping/clothing/military-surplus</x:v>
      </x:c>
      <x:c r="AL202" t="str">
        <x:v>https://www.merchantcircle.com/tn-murfreesboro/retail-shopping/clothing/military-surplus</x:v>
      </x:c>
      <x:c r="AM202" t="str">
        <x:v>Address-level coordinate for existing Master facility address.</x:v>
      </x:c>
      <x:c r="AN202" t="str">
        <x:v>core_data_center</x:v>
      </x:c>
      <x:c r="AO202" s="76" t="b">
        <x:v>1</x:v>
      </x:c>
      <x:c r="AP202" t="str">
        <x:v>data suites</x:v>
      </x:c>
      <x:c r="AQ202" t="str">
        <x:v>data suites murfreesboro</x:v>
      </x:c>
      <x:c r="AR202" t="str">
        <x:v>1020 w college st</x:v>
      </x:c>
    </x:row>
    <x:row r="203">
      <x:c r="A203" t="str">
        <x:v>wtia.org</x:v>
      </x:c>
      <x:c r="B203" t="str">
        <x:v>gibson-county-industrial-park-south</x:v>
      </x:c>
      <x:c r="C203" t="str">
        <x:v>Humboldt / Gibson County Crypto Mining Facility</x:v>
      </x:c>
      <x:c r="D203"/>
      <x:c r="E203" t="str">
        <x:v>Undisclosed private developer</x:v>
      </x:c>
      <x:c r="F203"/>
      <x:c r="G203" t="str">
        <x:v>2725 North Central Avenue reference site</x:v>
      </x:c>
      <x:c r="H203"/>
      <x:c r="I203" t="str">
        <x:v>Humboldt</x:v>
      </x:c>
      <x:c r="J203" t="str">
        <x:v>Gibson</x:v>
      </x:c>
      <x:c r="K203" t="str">
        <x:v>TN</x:v>
      </x:c>
      <x:c r="L203" t="str">
        <x:v>38343</x:v>
      </x:c>
      <x:c r="M203" t="n">
        <x:v>35.842805</x:v>
      </x:c>
      <x:c r="N203" t="n">
        <x:v>-88.921847</x:v>
      </x:c>
      <x:c r="O203" t="str">
        <x:v>approximate_site</x:v>
      </x:c>
      <x:c r="P203" t="str">
        <x:v>medium</x:v>
      </x:c>
      <x:c r="Q203" t="str">
        <x:v>adjacent industrial-park reference site</x:v>
      </x:c>
      <x:c r="R203" t="str">
        <x:v>operational</x:v>
      </x:c>
      <x:c r="S203" t="str">
        <x:v>operational</x:v>
      </x:c>
      <x:c r="T203" t="str">
        <x:v>crypto_mining</x:v>
      </x:c>
      <x:c r="U203"/>
      <x:c r="V203"/>
      <x:c r="W203"/>
      <x:c r="X203"/>
      <x:c r="Y203"/>
      <x:c r="Z203"/>
      <x:c r="AA203"/>
      <x:c r="AB203"/>
      <x:c r="AC203"/>
      <x:c r="AD203"/>
      <x:c r="AE203"/>
      <x:c r="AF203"/>
      <x:c r="AG203"/>
      <x:c r="AH203"/>
      <x:c r="AI203" t="str">
        <x:v>2026-09-04</x:v>
      </x:c>
      <x:c r="AJ203" t="str">
        <x:v>https://www.wtia.org/images/uploads/content_files/Gibson-county-south.pdf</x:v>
      </x:c>
      <x:c r="AK203" t="str">
        <x:v>https://www.wtia.org/images/uploads/content_files/Gibson-county-south.pdf</x:v>
      </x:c>
      <x:c r="AL203" t="str">
        <x:v>https://www.wtia.org/images/uploads/content_files/Gibson-county-south.pdf</x:v>
      </x:c>
      <x:c r="AM203" t="str">
        <x:v>Reference coordinate for Gibson County Industrial Park South; facility is reported near/just outside park, so not exact.</x:v>
      </x:c>
      <x:c r="AN203" t="str">
        <x:v>crypto_mining</x:v>
      </x:c>
      <x:c r="AO203" s="76" t="b">
        <x:v>1</x:v>
      </x:c>
      <x:c r="AP203" t="str">
        <x:v>undisclosed private developer</x:v>
      </x:c>
      <x:c r="AQ203" t="str">
        <x:v>humboldt gibson county crypto mining facility</x:v>
      </x:c>
      <x:c r="AR203" t="str">
        <x:v>gibson county industrial park vicinity</x:v>
      </x:c>
    </x:row>
    <x:row r="204">
      <x:c r="A204" t="str">
        <x:v>merchantcircle</x:v>
      </x:c>
      <x:c r="B204" t="str">
        <x:v>1231-18th-ave-s-nashville</x:v>
      </x:c>
      <x:c r="C204" t="str">
        <x:v>Vanderbilt ACCRE Data Center Rooms</x:v>
      </x:c>
      <x:c r="D204"/>
      <x:c r="E204" t="str">
        <x:v>Vanderbilt University</x:v>
      </x:c>
      <x:c r="F204"/>
      <x:c r="G204" t="str">
        <x:v>1231 18th Ave S</x:v>
      </x:c>
      <x:c r="H204"/>
      <x:c r="I204" t="str">
        <x:v>Nashville</x:v>
      </x:c>
      <x:c r="J204" t="str">
        <x:v>Davidson</x:v>
      </x:c>
      <x:c r="K204" t="str">
        <x:v>TN</x:v>
      </x:c>
      <x:c r="L204" t="str">
        <x:v>37212</x:v>
      </x:c>
      <x:c r="M204" t="n">
        <x:v>36.142856</x:v>
      </x:c>
      <x:c r="N204" t="n">
        <x:v>-86.796033</x:v>
      </x:c>
      <x:c r="O204" t="str">
        <x:v>address_or_site</x:v>
      </x:c>
      <x:c r="P204" t="str">
        <x:v>high</x:v>
      </x:c>
      <x:c r="Q204" t="str">
        <x:v>address-level public geocode</x:v>
      </x:c>
      <x:c r="R204" t="str">
        <x:v>operational</x:v>
      </x:c>
      <x:c r="S204" t="str">
        <x:v>operational</x:v>
      </x:c>
      <x:c r="T204" t="str">
        <x:v>data_center</x:v>
      </x:c>
      <x:c r="U204"/>
      <x:c r="V204"/>
      <x:c r="W204"/>
      <x:c r="X204"/>
      <x:c r="Y204"/>
      <x:c r="Z204"/>
      <x:c r="AA204"/>
      <x:c r="AB204"/>
      <x:c r="AC204"/>
      <x:c r="AD204"/>
      <x:c r="AE204"/>
      <x:c r="AF204"/>
      <x:c r="AG204"/>
      <x:c r="AH204"/>
      <x:c r="AI204" t="str">
        <x:v>2026-09-04</x:v>
      </x:c>
      <x:c r="AJ204" t="str">
        <x:v>https://www.merchantcircle.com/vanderbilt-university-college-of-arts-science32-nashville-tn</x:v>
      </x:c>
      <x:c r="AK204" t="str">
        <x:v>https://www.merchantcircle.com/vanderbilt-university-college-of-arts-science32-nashville-tn</x:v>
      </x:c>
      <x:c r="AL204" t="str">
        <x:v>https://www.merchantcircle.com/vanderbilt-university-college-of-arts-science32-nashville-tn</x:v>
      </x:c>
      <x:c r="AM204" t="str">
        <x:v>Hill Center building coordinate; candidate remains outside Master.</x:v>
      </x:c>
      <x:c r="AN204" t="str">
        <x:v>core_data_center</x:v>
      </x:c>
      <x:c r="AO204" s="76" t="b">
        <x:v>0</x:v>
      </x:c>
      <x:c r="AP204" t="str">
        <x:v>vanderbilt university</x:v>
      </x:c>
      <x:c r="AQ204" t="str">
        <x:v>vanderbilt accre data center rooms</x:v>
      </x:c>
      <x:c r="AR204" t="str">
        <x:v>1231 18th ave s</x:v>
      </x:c>
    </x:row>
    <x:row r="205">
      <x:c r="A205" t="str">
        <x:v>github.com</x:v>
      </x:c>
      <x:c r="B205" t="str">
        <x:v>elijah-gps:940-3rd-ave-n</x:v>
      </x:c>
      <x:c r="C205" t="str">
        <x:v>Windstream Nashville — 940 3rd Ave N</x:v>
      </x:c>
      <x:c r="D205"/>
      <x:c r="E205" t="str">
        <x:v>Windstream</x:v>
      </x:c>
      <x:c r="F205"/>
      <x:c r="G205" t="str">
        <x:v>940 3rd Ave North</x:v>
      </x:c>
      <x:c r="H205"/>
      <x:c r="I205" t="str">
        <x:v>Nashville</x:v>
      </x:c>
      <x:c r="J205" t="str">
        <x:v>Davidson</x:v>
      </x:c>
      <x:c r="K205" t="str">
        <x:v>TN</x:v>
      </x:c>
      <x:c r="L205" t="str">
        <x:v>37201</x:v>
      </x:c>
      <x:c r="M205" t="n">
        <x:v>36.173667</x:v>
      </x:c>
      <x:c r="N205" t="n">
        <x:v>-86.7835769</x:v>
      </x:c>
      <x:c r="O205" t="str">
        <x:v>address_or_site</x:v>
      </x:c>
      <x:c r="P205" t="str">
        <x:v>high</x:v>
      </x:c>
      <x:c r="Q205" t="str">
        <x:v>public address geocode dataset</x:v>
      </x:c>
      <x:c r="R205" t="str">
        <x:v>operational</x:v>
      </x:c>
      <x:c r="S205" t="str">
        <x:v>operational</x:v>
      </x:c>
      <x:c r="T205" t="str">
        <x:v>data_center</x:v>
      </x:c>
      <x:c r="U205"/>
      <x:c r="V205"/>
      <x:c r="W205"/>
      <x:c r="X205"/>
      <x:c r="Y205"/>
      <x:c r="Z205"/>
      <x:c r="AA205"/>
      <x:c r="AB205"/>
      <x:c r="AC205"/>
      <x:c r="AD205"/>
      <x:c r="AE205"/>
      <x:c r="AF205"/>
      <x:c r="AG205"/>
      <x:c r="AH205"/>
      <x:c r="AI205" t="str">
        <x:v>2026-09-04</x:v>
      </x:c>
      <x:c r="AJ205" t="str">
        <x:v>https://github.com/cmusatyalab/elijah-discovery-basic/blob/master/elijah/discovery/emulation/gps | https://www.datacentermap.com/usa/tennessee/nashville/nuvox-nashville/</x:v>
      </x:c>
      <x:c r="AK205" t="str">
        <x:v>https://github.com/cmusatyalab/elijah-discovery-basic/blob/master/elijah/discovery/emulation/gps</x:v>
      </x:c>
      <x:c r="AL205" t="str">
        <x:v>https://github.com/cmusatyalab/elijah-discovery-basic/blob/master/elijah/discovery/emulation/gps</x:v>
      </x:c>
      <x:c r="AM205" t="str">
        <x:v>Geocoded coordinate matched to independently confirmed Windstream facility address.</x:v>
      </x:c>
      <x:c r="AN205" t="str">
        <x:v>core_data_center</x:v>
      </x:c>
      <x:c r="AO205" s="76" t="b">
        <x:v>0</x:v>
      </x:c>
      <x:c r="AP205" t="str">
        <x:v>windstream</x:v>
      </x:c>
      <x:c r="AQ205" t="str">
        <x:v>windstream nashville 940 3rd ave n</x:v>
      </x:c>
      <x:c r="AR205" t="str">
        <x:v>940 3rd ave north</x:v>
      </x:c>
    </x:row>
    <x:row r="206">
      <x:c r="A206" t="str">
        <x:v>tnsos.net</x:v>
      </x:c>
      <x:c r="B206" t="str">
        <x:v>rda-35498:south-data-center</x:v>
      </x:c>
      <x:c r="C206" t="str">
        <x:v>Tennessee State Data Center South</x:v>
      </x:c>
      <x:c r="D206"/>
      <x:c r="E206" t="str">
        <x:v>State of Tennessee</x:v>
      </x:c>
      <x:c r="F206"/>
      <x:c r="G206" t="str">
        <x:v>92 Weakly Avenue</x:v>
      </x:c>
      <x:c r="H206"/>
      <x:c r="I206" t="str">
        <x:v>Smyrna</x:v>
      </x:c>
      <x:c r="J206" t="str">
        <x:v>Rutherford</x:v>
      </x:c>
      <x:c r="K206" t="str">
        <x:v>TN</x:v>
      </x:c>
      <x:c r="L206" t="str">
        <x:v>37267</x:v>
      </x:c>
      <x:c r="M206"/>
      <x:c r="N206"/>
      <x:c r="O206" t="str">
        <x:v>address_or_site</x:v>
      </x:c>
      <x:c r="P206" t="str">
        <x:v>high</x:v>
      </x:c>
      <x:c r="Q206" t="str">
        <x:v>official system location</x:v>
      </x:c>
      <x:c r="R206" t="str">
        <x:v>operational</x:v>
      </x:c>
      <x:c r="S206" t="str">
        <x:v>operational</x:v>
      </x:c>
      <x:c r="T206" t="str">
        <x:v>data_center</x:v>
      </x:c>
      <x:c r="U206"/>
      <x:c r="V206"/>
      <x:c r="W206"/>
      <x:c r="X206"/>
      <x:c r="Y206"/>
      <x:c r="Z206"/>
      <x:c r="AA206"/>
      <x:c r="AB206"/>
      <x:c r="AC206"/>
      <x:c r="AD206"/>
      <x:c r="AE206"/>
      <x:c r="AF206"/>
      <x:c r="AG206"/>
      <x:c r="AH206"/>
      <x:c r="AI206" t="str">
        <x:v>2026-09-04</x:v>
      </x:c>
      <x:c r="AJ206" t="str">
        <x:v>https://rmd-rda.tnsos.net/rda/generate/pdf/35498/print</x:v>
      </x:c>
      <x:c r="AK206" t="str">
        <x:v>https://rmd-rda.tnsos.net/rda/generate/pdf/35498/print</x:v>
      </x:c>
      <x:c r="AL206" t="str">
        <x:v>https://rmd-rda.tnsos.net/rda/generate/pdf/35498/print</x:v>
      </x:c>
      <x:c r="AM206" t="str">
        <x:v>Official State RDA names South Data Center and street address; no textual GPS in reviewed source.</x:v>
      </x:c>
      <x:c r="AN206" t="str">
        <x:v>core_data_center</x:v>
      </x:c>
      <x:c r="AO206" s="76" t="b">
        <x:v>0</x:v>
      </x:c>
      <x:c r="AP206" t="str">
        <x:v>state of tennessee</x:v>
      </x:c>
      <x:c r="AQ206" t="str">
        <x:v>tennessee state data center south</x:v>
      </x:c>
      <x:c r="AR206" t="str">
        <x:v>92 weakly avenue</x:v>
      </x:c>
    </x:row>
    <x:row r="207">
      <x:c r="A207" t="str">
        <x:v>slideshare.net</x:v>
      </x:c>
      <x:c r="B207" t="str">
        <x:v>tn-data-governance:data-center-north</x:v>
      </x:c>
      <x:c r="C207" t="str">
        <x:v>Tennessee State Data Center North</x:v>
      </x:c>
      <x:c r="D207"/>
      <x:c r="E207" t="str">
        <x:v>State of Tennessee</x:v>
      </x:c>
      <x:c r="F207"/>
      <x:c r="G207" t="str">
        <x:v>901 5th Avenue North</x:v>
      </x:c>
      <x:c r="H207"/>
      <x:c r="I207" t="str">
        <x:v>Nashville</x:v>
      </x:c>
      <x:c r="J207" t="str">
        <x:v>Davidson</x:v>
      </x:c>
      <x:c r="K207" t="str">
        <x:v>TN</x:v>
      </x:c>
      <x:c r="L207" t="str">
        <x:v>37219</x:v>
      </x:c>
      <x:c r="M207"/>
      <x:c r="N207"/>
      <x:c r="O207" t="str">
        <x:v>address_or_site</x:v>
      </x:c>
      <x:c r="P207" t="str">
        <x:v>high</x:v>
      </x:c>
      <x:c r="Q207" t="str">
        <x:v>state data-governance material</x:v>
      </x:c>
      <x:c r="R207" t="str">
        <x:v>operational</x:v>
      </x:c>
      <x:c r="S207" t="str">
        <x:v>operational</x:v>
      </x:c>
      <x:c r="T207" t="str">
        <x:v>data_center</x:v>
      </x:c>
      <x:c r="U207"/>
      <x:c r="V207"/>
      <x:c r="W207"/>
      <x:c r="X207"/>
      <x:c r="Y207"/>
      <x:c r="Z207"/>
      <x:c r="AA207"/>
      <x:c r="AB207"/>
      <x:c r="AC207"/>
      <x:c r="AD207"/>
      <x:c r="AE207"/>
      <x:c r="AF207"/>
      <x:c r="AG207"/>
      <x:c r="AH207"/>
      <x:c r="AI207" t="str">
        <x:v>2026-09-04</x:v>
      </x:c>
      <x:c r="AJ207" t="str">
        <x:v>https://www.slideshare.net/slideshow/tn-data-governance-element-playbook-pdf/270290441</x:v>
      </x:c>
      <x:c r="AK207" t="str">
        <x:v>https://www.slideshare.net/slideshow/tn-data-governance-element-playbook-pdf/270290441</x:v>
      </x:c>
      <x:c r="AL207" t="str">
        <x:v>https://www.slideshare.net/slideshow/tn-data-governance-element-playbook-pdf/270290441</x:v>
      </x:c>
      <x:c r="AM207" t="str">
        <x:v>State data-governance material explicitly names Data Center North and address.</x:v>
      </x:c>
      <x:c r="AN207" t="str">
        <x:v>core_data_center</x:v>
      </x:c>
      <x:c r="AO207" s="76" t="b">
        <x:v>0</x:v>
      </x:c>
      <x:c r="AP207" t="str">
        <x:v>state of tennessee</x:v>
      </x:c>
      <x:c r="AQ207" t="str">
        <x:v>tennessee state data center north</x:v>
      </x:c>
      <x:c r="AR207" t="str">
        <x:v>901 5th avenue north</x:v>
      </x:c>
    </x:row>
    <x:row r="208">
      <x:c r="A208" t="str">
        <x:v>mapcarta.com</x:v>
      </x:c>
      <x:c r="B208" t="str">
        <x:v>osm-way-1076669797</x:v>
      </x:c>
      <x:c r="C208" t="str">
        <x:v>MCA Chattanooga Data Center</x:v>
      </x:c>
      <x:c r="D208"/>
      <x:c r="E208" t="str">
        <x:v>MCA Technology Solutions</x:v>
      </x:c>
      <x:c r="F208"/>
      <x:c r="G208" t="str">
        <x:v>6048 Century Oaks Dr</x:v>
      </x:c>
      <x:c r="H208"/>
      <x:c r="I208" t="str">
        <x:v>Chattanooga</x:v>
      </x:c>
      <x:c r="J208" t="str">
        <x:v>Hamilton</x:v>
      </x:c>
      <x:c r="K208" t="str">
        <x:v>TN</x:v>
      </x:c>
      <x:c r="L208" t="str">
        <x:v>37416</x:v>
      </x:c>
      <x:c r="M208" t="n">
        <x:v>35.07589</x:v>
      </x:c>
      <x:c r="N208" t="n">
        <x:v>-85.18455</x:v>
      </x:c>
      <x:c r="O208" t="str">
        <x:v>address_or_site</x:v>
      </x:c>
      <x:c r="P208" t="str">
        <x:v>high</x:v>
      </x:c>
      <x:c r="Q208" t="str">
        <x:v>OpenStreetMap building/address match</x:v>
      </x:c>
      <x:c r="R208" t="str">
        <x:v>operational</x:v>
      </x:c>
      <x:c r="S208" t="str">
        <x:v>operational</x:v>
      </x:c>
      <x:c r="T208" t="str">
        <x:v>data_center</x:v>
      </x:c>
      <x:c r="U208"/>
      <x:c r="V208"/>
      <x:c r="W208"/>
      <x:c r="X208"/>
      <x:c r="Y208"/>
      <x:c r="Z208"/>
      <x:c r="AA208"/>
      <x:c r="AB208"/>
      <x:c r="AC208"/>
      <x:c r="AD208"/>
      <x:c r="AE208"/>
      <x:c r="AF208"/>
      <x:c r="AG208"/>
      <x:c r="AH208"/>
      <x:c r="AI208" t="str">
        <x:v>2026-09-04</x:v>
      </x:c>
      <x:c r="AJ208" t="str">
        <x:v>https://mapcarta.com/W1076669797</x:v>
      </x:c>
      <x:c r="AK208" t="str">
        <x:v>https://mapcarta.com/W1076669797</x:v>
      </x:c>
      <x:c r="AL208" t="str">
        <x:v>https://mapcarta.com/W1076669797</x:v>
      </x:c>
      <x:c r="AM208" t="str">
        <x:v>MCA Main Office building at the same address as the data center.</x:v>
      </x:c>
      <x:c r="AN208" t="str">
        <x:v>core_data_center</x:v>
      </x:c>
      <x:c r="AO208" s="76" t="b">
        <x:v>1</x:v>
      </x:c>
      <x:c r="AP208" t="str">
        <x:v>mca technology solutions</x:v>
      </x:c>
      <x:c r="AQ208" t="str">
        <x:v>mca chattanooga data center</x:v>
      </x:c>
      <x:c r="AR208" t="str">
        <x:v>6048 century oaks dr</x:v>
      </x:c>
    </x:row>
    <x:row r="209">
      <x:c r="A209" t="str">
        <x:v>ibegin.com</x:v>
      </x:c>
      <x:c r="B209" t="str">
        <x:v>state-of-tennessee-data-center:901-5th-ave-n</x:v>
      </x:c>
      <x:c r="C209" t="str">
        <x:v>Tennessee State Data Center North</x:v>
      </x:c>
      <x:c r="D209"/>
      <x:c r="E209" t="str">
        <x:v>State of Tennessee</x:v>
      </x:c>
      <x:c r="F209"/>
      <x:c r="G209" t="str">
        <x:v>901 5th Ave N</x:v>
      </x:c>
      <x:c r="H209"/>
      <x:c r="I209" t="str">
        <x:v>Nashville</x:v>
      </x:c>
      <x:c r="J209" t="str">
        <x:v>Davidson</x:v>
      </x:c>
      <x:c r="K209" t="str">
        <x:v>TN</x:v>
      </x:c>
      <x:c r="L209" t="str">
        <x:v>37243</x:v>
      </x:c>
      <x:c r="M209" t="n">
        <x:v>36.171264</x:v>
      </x:c>
      <x:c r="N209" t="n">
        <x:v>-86.785312</x:v>
      </x:c>
      <x:c r="O209" t="str">
        <x:v>address_or_site</x:v>
      </x:c>
      <x:c r="P209" t="str">
        <x:v>high</x:v>
      </x:c>
      <x:c r="Q209" t="str">
        <x:v>directory record with explicit address and coordinates</x:v>
      </x:c>
      <x:c r="R209" t="str">
        <x:v>operational</x:v>
      </x:c>
      <x:c r="S209" t="str">
        <x:v>operational</x:v>
      </x:c>
      <x:c r="T209" t="str">
        <x:v>data_center</x:v>
      </x:c>
      <x:c r="U209"/>
      <x:c r="V209"/>
      <x:c r="W209"/>
      <x:c r="X209"/>
      <x:c r="Y209"/>
      <x:c r="Z209"/>
      <x:c r="AA209"/>
      <x:c r="AB209"/>
      <x:c r="AC209"/>
      <x:c r="AD209"/>
      <x:c r="AE209"/>
      <x:c r="AF209"/>
      <x:c r="AG209"/>
      <x:c r="AH209"/>
      <x:c r="AI209" t="str">
        <x:v>2026-09-04</x:v>
      </x:c>
      <x:c r="AJ209" t="str">
        <x:v>https://www.ibegin.com/directory/us/tennessee/nashville/state-of-tennessee-data-center/</x:v>
      </x:c>
      <x:c r="AK209" t="str">
        <x:v>https://www.ibegin.com/directory/us/tennessee/nashville/state-of-tennessee-data-center/</x:v>
      </x:c>
      <x:c r="AL209" t="str">
        <x:v>https://www.ibegin.com/directory/us/tennessee/nashville/state-of-tennessee-data-center/</x:v>
      </x:c>
      <x:c r="AM209" t="str">
        <x:v>Directory directly publishes coordinates for State Of Tennessee Data Center at 901 5th Ave N.</x:v>
      </x:c>
      <x:c r="AN209" t="str">
        <x:v>core_data_center</x:v>
      </x:c>
      <x:c r="AO209" s="76" t="b">
        <x:v>0</x:v>
      </x:c>
      <x:c r="AP209" t="str">
        <x:v>state of tennessee</x:v>
      </x:c>
      <x:c r="AQ209" t="str">
        <x:v>tennessee state data center north</x:v>
      </x:c>
      <x:c r="AR209" t="str">
        <x:v>901 5th ave n</x:v>
      </x:c>
    </x:row>
    <x:row r="210">
      <x:c r="A210" t="str">
        <x:v>simplecontacts.com</x:v>
      </x:c>
      <x:c r="B210" t="str">
        <x:v>adjacent-93-weakley-ln:south-data-center-anchor</x:v>
      </x:c>
      <x:c r="C210" t="str">
        <x:v>Tennessee State Data Center South</x:v>
      </x:c>
      <x:c r="D210"/>
      <x:c r="E210" t="str">
        <x:v>State of Tennessee</x:v>
      </x:c>
      <x:c r="F210"/>
      <x:c r="G210" t="str">
        <x:v>92 Weakley Ln</x:v>
      </x:c>
      <x:c r="H210"/>
      <x:c r="I210" t="str">
        <x:v>Smyrna</x:v>
      </x:c>
      <x:c r="J210" t="str">
        <x:v>Rutherford</x:v>
      </x:c>
      <x:c r="K210" t="str">
        <x:v>TN</x:v>
      </x:c>
      <x:c r="L210" t="str">
        <x:v>37167</x:v>
      </x:c>
      <x:c r="M210" t="n">
        <x:v>35.993554</x:v>
      </x:c>
      <x:c r="N210" t="n">
        <x:v>-86.4994229</x:v>
      </x:c>
      <x:c r="O210" t="str">
        <x:v>approximate_site</x:v>
      </x:c>
      <x:c r="P210" t="str">
        <x:v>medium</x:v>
      </x:c>
      <x:c r="Q210" t="str">
        <x:v>adjacent-address geocode (93 Weakley Ln) used as site anchor</x:v>
      </x:c>
      <x:c r="R210" t="str">
        <x:v>operational</x:v>
      </x:c>
      <x:c r="S210" t="str">
        <x:v>operational</x:v>
      </x:c>
      <x:c r="T210" t="str">
        <x:v>data_center</x:v>
      </x:c>
      <x:c r="U210"/>
      <x:c r="V210"/>
      <x:c r="W210"/>
      <x:c r="X210"/>
      <x:c r="Y210"/>
      <x:c r="Z210"/>
      <x:c r="AA210"/>
      <x:c r="AB210"/>
      <x:c r="AC210"/>
      <x:c r="AD210"/>
      <x:c r="AE210"/>
      <x:c r="AF210"/>
      <x:c r="AG210"/>
      <x:c r="AH210"/>
      <x:c r="AI210" t="str">
        <x:v>2026-09-04</x:v>
      </x:c>
      <x:c r="AJ210" t="str">
        <x:v>https://www.yellowpages.com/nashville-tn/data-communication-services | https://www.simplecontacts.com/profile/Travis-Gamblin-5172af3</x:v>
      </x:c>
      <x:c r="AK210" t="str">
        <x:v>https://www.simplecontacts.com/profile/Travis-Gamblin-5172af3</x:v>
      </x:c>
      <x:c r="AL210" t="str">
        <x:v>https://www.simplecontacts.com/profile/Travis-Gamblin-5172af3</x:v>
      </x:c>
      <x:c r="AM210" t="str">
        <x:v>Coordinate belongs to adjacent 93 Weakley Ln, not asserted as exact 92 Weakley Ln building point.</x:v>
      </x:c>
      <x:c r="AN210" t="str">
        <x:v>core_data_center</x:v>
      </x:c>
      <x:c r="AO210" s="76" t="b">
        <x:v>0</x:v>
      </x:c>
      <x:c r="AP210" t="str">
        <x:v>state of tennessee</x:v>
      </x:c>
      <x:c r="AQ210" t="str">
        <x:v>tennessee state data center south</x:v>
      </x:c>
      <x:c r="AR210" t="str">
        <x:v>92 weakley ln</x:v>
      </x:c>
    </x:row>
    <x:row r="211">
      <x:c r="A211" t="str">
        <x:v>datacentermap-derived</x:v>
      </x:c>
      <x:c r="B211" t="str">
        <x:v>tenhats-multilateration</x:v>
      </x:c>
      <x:c r="C211" t="str">
        <x:v>TenHats Knoxville Data Center</x:v>
      </x:c>
      <x:c r="D211"/>
      <x:c r="E211" t="str">
        <x:v>TenHats</x:v>
      </x:c>
      <x:c r="F211"/>
      <x:c r="G211" t="str">
        <x:v>550 Fort Summit Way</x:v>
      </x:c>
      <x:c r="H211"/>
      <x:c r="I211" t="str">
        <x:v>Knoxville</x:v>
      </x:c>
      <x:c r="J211" t="str">
        <x:v>Knox</x:v>
      </x:c>
      <x:c r="K211" t="str">
        <x:v>TN</x:v>
      </x:c>
      <x:c r="L211" t="str">
        <x:v>37915</x:v>
      </x:c>
      <x:c r="M211" t="n">
        <x:v>35.97048129</x:v>
      </x:c>
      <x:c r="N211" t="n">
        <x:v>-83.91221605</x:v>
      </x:c>
      <x:c r="O211" t="str">
        <x:v>approximate_site</x:v>
      </x:c>
      <x:c r="P211" t="str">
        <x:v>medium</x:v>
      </x:c>
      <x:c r="Q211" t="str">
        <x:v>least-squares multilateration from published nearest-facility distances</x:v>
      </x:c>
      <x:c r="R211" t="str">
        <x:v>operational</x:v>
      </x:c>
      <x:c r="S211" t="str">
        <x:v>operational</x:v>
      </x:c>
      <x:c r="T211" t="str">
        <x:v>data_center</x:v>
      </x:c>
      <x:c r="U211" t="str">
        <x:v>derived_location</x:v>
      </x:c>
      <x:c r="V211"/>
      <x:c r="W211"/>
      <x:c r="X211"/>
      <x:c r="Y211"/>
      <x:c r="Z211"/>
      <x:c r="AA211"/>
      <x:c r="AB211"/>
      <x:c r="AC211"/>
      <x:c r="AD211"/>
      <x:c r="AE211"/>
      <x:c r="AF211"/>
      <x:c r="AG211"/>
      <x:c r="AH211"/>
      <x:c r="AI211" t="str">
        <x:v>2026-09-04</x:v>
      </x:c>
      <x:c r="AJ211" t="str">
        <x:v>https://www.datacentermap.com/usa/tennessee/knoxville/the-fort/</x:v>
      </x:c>
      <x:c r="AK211" t="str">
        <x:v>https://www.datacentermap.com/usa/tennessee/</x:v>
      </x:c>
      <x:c r="AL211" t="str">
        <x:v>https://www.datacentermap.com/usa/tennessee/knoxville/the-fort/</x:v>
      </x:c>
      <x:c r="AM211" t="str">
        <x:v>Derived approximate-site coordinate from DataCenterMap straight-line distances to Scipio Knoxville (0.6 mi), Bitdeer Tennessee (4.73 mi), and Infinity Data Center (12.75 mi), using those facilities' existing WGS84 coordinates. Least-squares distance residuals are ~0.03-0.05 km. This is not asserted as an exact building centroid.</x:v>
      </x:c>
      <x:c r="AN211" t="str">
        <x:v>core_data_center</x:v>
      </x:c>
      <x:c r="AO211" s="76" t="b">
        <x:v>1</x:v>
      </x:c>
      <x:c r="AP211" t="str">
        <x:v>tenhats</x:v>
      </x:c>
      <x:c r="AQ211" t="str">
        <x:v>tenhats knoxville data center</x:v>
      </x:c>
      <x:c r="AR211" t="str">
        <x:v>550 fort summit way</x:v>
      </x:c>
    </x:row>
    <x:row r="212">
      <x:c r="A212" t="str">
        <x:v>datacentermap-derived</x:v>
      </x:c>
      <x:c r="B212" t="str">
        <x:v>uniti-knoxville-multilateration</x:v>
      </x:c>
      <x:c r="C212" t="str">
        <x:v>Windstream / Uniti Knoxville</x:v>
      </x:c>
      <x:c r="D212"/>
      <x:c r="E212" t="str">
        <x:v>Uniti Wholesale</x:v>
      </x:c>
      <x:c r="F212"/>
      <x:c r="G212" t="str">
        <x:v>2333 Lovell Rd</x:v>
      </x:c>
      <x:c r="H212"/>
      <x:c r="I212" t="str">
        <x:v>Knoxville</x:v>
      </x:c>
      <x:c r="J212" t="str">
        <x:v>Knox</x:v>
      </x:c>
      <x:c r="K212" t="str">
        <x:v>TN</x:v>
      </x:c>
      <x:c r="L212" t="str">
        <x:v>37932</x:v>
      </x:c>
      <x:c r="M212" t="n">
        <x:v>35.95217137</x:v>
      </x:c>
      <x:c r="N212" t="n">
        <x:v>-84.12517265</x:v>
      </x:c>
      <x:c r="O212" t="str">
        <x:v>approximate_site</x:v>
      </x:c>
      <x:c r="P212" t="str">
        <x:v>medium</x:v>
      </x:c>
      <x:c r="Q212" t="str">
        <x:v>least-squares multilateration from published nearest-facility distances</x:v>
      </x:c>
      <x:c r="R212" t="str">
        <x:v>operational</x:v>
      </x:c>
      <x:c r="S212" t="str">
        <x:v>operational</x:v>
      </x:c>
      <x:c r="T212" t="str">
        <x:v>interconnection_facility</x:v>
      </x:c>
      <x:c r="U212" t="str">
        <x:v>derived_location</x:v>
      </x:c>
      <x:c r="V212"/>
      <x:c r="W212"/>
      <x:c r="X212"/>
      <x:c r="Y212"/>
      <x:c r="Z212"/>
      <x:c r="AA212"/>
      <x:c r="AB212"/>
      <x:c r="AC212"/>
      <x:c r="AD212"/>
      <x:c r="AE212"/>
      <x:c r="AF212"/>
      <x:c r="AG212"/>
      <x:c r="AH212"/>
      <x:c r="AI212" t="str">
        <x:v>2026-09-04</x:v>
      </x:c>
      <x:c r="AJ212" t="str">
        <x:v>https://www.datacentermap.com/usa/tennessee/knoxville/windstream-knoxville/</x:v>
      </x:c>
      <x:c r="AK212" t="str">
        <x:v>https://www.datacentermap.com/usa/tennessee/</x:v>
      </x:c>
      <x:c r="AL212" t="str">
        <x:v>https://www.datacentermap.com/usa/tennessee/knoxville/windstream-knoxville/</x:v>
      </x:c>
      <x:c r="AM212" t="str">
        <x:v>Derived approximate-site coordinate from DataCenterMap distances to Infinity Data Center (1.47 km), Scipio Knoxville (18.41 km), TenHats Knoxville (19.3 km), and LCUB Data Center (17.73 km). The multilateration solution has ~0.01-0.03 km residuals against these anchors. The lower-latitude circle intersection is selected because it also agrees with the LCUB distance. Not asserted as an exact building centroid.</x:v>
      </x:c>
      <x:c r="AN212" t="str">
        <x:v>core_data_center</x:v>
      </x:c>
      <x:c r="AO212" s="76" t="b">
        <x:v>1</x:v>
      </x:c>
      <x:c r="AP212" t="str">
        <x:v>uniti wholesale</x:v>
      </x:c>
      <x:c r="AQ212" t="str">
        <x:v>windstream / uniti knoxville</x:v>
      </x:c>
      <x:c r="AR212" t="str">
        <x:v>2333 lovell rd</x:v>
      </x:c>
    </x:row>
    <x:row r="213">
      <x:c r="A213" t="str">
        <x:v>datacentermap-derived</x:v>
      </x:c>
      <x:c r="B213" t="str">
        <x:v>lumen-nashville2-multilateration</x:v>
      </x:c>
      <x:c r="C213" t="str">
        <x:v>Lumen Nashville 2</x:v>
      </x:c>
      <x:c r="D213"/>
      <x:c r="E213" t="str">
        <x:v>Lumen Technologies</x:v>
      </x:c>
      <x:c r="F213"/>
      <x:c r="G213" t="str">
        <x:v>2530 Perimeter Place Drive</x:v>
      </x:c>
      <x:c r="H213"/>
      <x:c r="I213" t="str">
        <x:v>Nashville</x:v>
      </x:c>
      <x:c r="J213" t="str">
        <x:v>Davidson</x:v>
      </x:c>
      <x:c r="K213" t="str">
        <x:v>TN</x:v>
      </x:c>
      <x:c r="L213" t="str">
        <x:v>37214</x:v>
      </x:c>
      <x:c r="M213" t="n">
        <x:v>36.14787701</x:v>
      </x:c>
      <x:c r="N213" t="n">
        <x:v>-86.68002591</x:v>
      </x:c>
      <x:c r="O213" t="str">
        <x:v>approximate_site</x:v>
      </x:c>
      <x:c r="P213" t="str">
        <x:v>medium</x:v>
      </x:c>
      <x:c r="Q213" t="str">
        <x:v>least-squares multilateration from published nearest-facility distances</x:v>
      </x:c>
      <x:c r="R213" t="str">
        <x:v>operational</x:v>
      </x:c>
      <x:c r="S213" t="str">
        <x:v>operational</x:v>
      </x:c>
      <x:c r="T213" t="str">
        <x:v>data_center</x:v>
      </x:c>
      <x:c r="U213" t="str">
        <x:v>derived_location</x:v>
      </x:c>
      <x:c r="V213"/>
      <x:c r="W213"/>
      <x:c r="X213"/>
      <x:c r="Y213"/>
      <x:c r="Z213"/>
      <x:c r="AA213"/>
      <x:c r="AB213"/>
      <x:c r="AC213"/>
      <x:c r="AD213"/>
      <x:c r="AE213"/>
      <x:c r="AF213"/>
      <x:c r="AG213"/>
      <x:c r="AH213"/>
      <x:c r="AI213" t="str">
        <x:v>2026-09-04</x:v>
      </x:c>
      <x:c r="AJ213" t="str">
        <x:v>https://www.datacentermap.com/usa/tennessee/nashville/level3-nashville2/</x:v>
      </x:c>
      <x:c r="AK213" t="str">
        <x:v>https://www.datacentermap.com/usa/tennessee/</x:v>
      </x:c>
      <x:c r="AL213" t="str">
        <x:v>https://www.datacentermap.com/usa/tennessee/nashville/level3-nashville2/</x:v>
      </x:c>
      <x:c r="AM213" t="str">
        <x:v>Derived approximate-site coordinate from DataCenterMap distances to EdgeConneX Nashville (1.28 mi), Lumen Nashville 4 (4.89 mi), DC BLOX Nashville Campus (5.49 mi), and H5 Nashville II (5.6 mi). Maximum residual is ~0.13 km. Property identity remains independently confirmed at 2530 Perimeter Place Dr / parcel 095-00-0-119.</x:v>
      </x:c>
      <x:c r="AN213" t="str">
        <x:v>core_data_center</x:v>
      </x:c>
      <x:c r="AO213" s="76" t="b">
        <x:v>1</x:v>
      </x:c>
      <x:c r="AP213" t="str">
        <x:v>lumen technologies</x:v>
      </x:c>
      <x:c r="AQ213" t="str">
        <x:v>lumen nashville 2</x:v>
      </x:c>
      <x:c r="AR213" t="str">
        <x:v>2530 perimeter place drive</x:v>
      </x:c>
    </x:row>
    <x:row r="214">
      <x:c r="A214" t="str">
        <x:v>datacentermap-derived</x:v>
      </x:c>
      <x:c r="B214" t="str">
        <x:v>saragon-nashville-multilateration</x:v>
      </x:c>
      <x:c r="C214" t="str">
        <x:v>Saragon Nashville</x:v>
      </x:c>
      <x:c r="D214"/>
      <x:c r="E214" t="str">
        <x:v>Saragon</x:v>
      </x:c>
      <x:c r="F214"/>
      <x:c r="G214" t="str">
        <x:v>338 Woodycrest Ave</x:v>
      </x:c>
      <x:c r="H214"/>
      <x:c r="I214" t="str">
        <x:v>Nashville</x:v>
      </x:c>
      <x:c r="J214" t="str">
        <x:v>Davidson</x:v>
      </x:c>
      <x:c r="K214" t="str">
        <x:v>TN</x:v>
      </x:c>
      <x:c r="L214" t="str">
        <x:v>37210</x:v>
      </x:c>
      <x:c r="M214" t="n">
        <x:v>36.13170626</x:v>
      </x:c>
      <x:c r="N214" t="n">
        <x:v>-86.75324366</x:v>
      </x:c>
      <x:c r="O214" t="str">
        <x:v>approximate_site</x:v>
      </x:c>
      <x:c r="P214" t="str">
        <x:v>medium</x:v>
      </x:c>
      <x:c r="Q214" t="str">
        <x:v>least-squares multilateration from published nearest-facility distances</x:v>
      </x:c>
      <x:c r="R214" t="str">
        <x:v>operational</x:v>
      </x:c>
      <x:c r="S214" t="str">
        <x:v>operational</x:v>
      </x:c>
      <x:c r="T214" t="str">
        <x:v>data_center</x:v>
      </x:c>
      <x:c r="U214" t="str">
        <x:v>derived_location</x:v>
      </x:c>
      <x:c r="V214"/>
      <x:c r="W214"/>
      <x:c r="X214"/>
      <x:c r="Y214"/>
      <x:c r="Z214"/>
      <x:c r="AA214"/>
      <x:c r="AB214"/>
      <x:c r="AC214"/>
      <x:c r="AD214"/>
      <x:c r="AE214"/>
      <x:c r="AF214"/>
      <x:c r="AG214"/>
      <x:c r="AH214"/>
      <x:c r="AI214" t="str">
        <x:v>2026-09-04</x:v>
      </x:c>
      <x:c r="AJ214" t="str">
        <x:v>https://www.datacentermap.com/usa/tennessee/nashville/cogent-data-center-nashville/</x:v>
      </x:c>
      <x:c r="AK214" t="str">
        <x:v>https://www.datacentermap.com/usa/tennessee/</x:v>
      </x:c>
      <x:c r="AL214" t="str">
        <x:v>https://www.datacentermap.com/usa/tennessee/nashville/cogent-data-center-nashville/</x:v>
      </x:c>
      <x:c r="AM214" t="str">
        <x:v>Derived approximate-site coordinate from DataCenterMap distances to Lumen Nashville 4 (0.92 mi), H5 Nashville II (2.55 mi), DC BLOX Nashville Campus (2.85 mi), EdgeConneX Nashville (2.99 mi), and Uniti Nashville (3.35 mi). Residuals are ~0.01-0.04 km. Address/parcel identity is independently confirmed at 338 Woodycrest Ave / parcel 105-12-0-038.</x:v>
      </x:c>
      <x:c r="AN214" t="str">
        <x:v>core_data_center</x:v>
      </x:c>
      <x:c r="AO214" s="76" t="b">
        <x:v>1</x:v>
      </x:c>
      <x:c r="AP214" t="str">
        <x:v>saragon</x:v>
      </x:c>
      <x:c r="AQ214" t="str">
        <x:v>saragon nashville</x:v>
      </x:c>
      <x:c r="AR214" t="str">
        <x:v>338 woodycrest ave</x:v>
      </x:c>
    </x:row>
    <x:row r="215">
      <x:c r="A215" t="str">
        <x:v>datacentermap-derived</x:v>
      </x:c>
      <x:c r="B215" t="str">
        <x:v>5c-mem01-multilateration</x:v>
      </x:c>
      <x:c r="C215" t="str">
        <x:v>5C MEM01</x:v>
      </x:c>
      <x:c r="D215"/>
      <x:c r="E215" t="str">
        <x:v>5C</x:v>
      </x:c>
      <x:c r="F215"/>
      <x:c r="G215" t="str">
        <x:v>4280 Getwell Rd</x:v>
      </x:c>
      <x:c r="H215"/>
      <x:c r="I215" t="str">
        <x:v>Memphis</x:v>
      </x:c>
      <x:c r="J215" t="str">
        <x:v>Shelby</x:v>
      </x:c>
      <x:c r="K215" t="str">
        <x:v>TN</x:v>
      </x:c>
      <x:c r="L215" t="str">
        <x:v>38118</x:v>
      </x:c>
      <x:c r="M215" t="n">
        <x:v>35.0327269</x:v>
      </x:c>
      <x:c r="N215" t="n">
        <x:v>-89.9354893</x:v>
      </x:c>
      <x:c r="O215" t="str">
        <x:v>approximate_site</x:v>
      </x:c>
      <x:c r="P215" t="str">
        <x:v>medium</x:v>
      </x:c>
      <x:c r="Q215" t="str">
        <x:v>least-squares multilateration from published nearest-facility distances</x:v>
      </x:c>
      <x:c r="R215" t="str">
        <x:v>under_construction</x:v>
      </x:c>
      <x:c r="S215" t="str">
        <x:v>under_construction</x:v>
      </x:c>
      <x:c r="T215" t="str">
        <x:v>data_center</x:v>
      </x:c>
      <x:c r="U215" t="str">
        <x:v>derived_location</x:v>
      </x:c>
      <x:c r="V215"/>
      <x:c r="W215"/>
      <x:c r="X215"/>
      <x:c r="Y215"/>
      <x:c r="Z215"/>
      <x:c r="AA215"/>
      <x:c r="AB215"/>
      <x:c r="AC215"/>
      <x:c r="AD215"/>
      <x:c r="AE215"/>
      <x:c r="AF215"/>
      <x:c r="AG215"/>
      <x:c r="AH215"/>
      <x:c r="AI215" t="str">
        <x:v>2026-09-04</x:v>
      </x:c>
      <x:c r="AJ215" t="str">
        <x:v>https://www.datacentermap.com/usa/tennessee/memphis/5cdc-memphis-mem01/</x:v>
      </x:c>
      <x:c r="AK215" t="str">
        <x:v>https://www.datacentermap.com/usa/tennessee/</x:v>
      </x:c>
      <x:c r="AL215" t="str">
        <x:v>https://www.datacentermap.com/usa/tennessee/memphis/5cdc-memphis-mem01/</x:v>
      </x:c>
      <x:c r="AM215" t="str">
        <x:v>Current DataCenterMap facility-facing address is 4280 Getwell Rd. Derived approximate-site coordinate from distances to Lumen Memphis 1 (0.38 mi), EdgeConneX Memphis (2.82 mi), and Connect Memphis (2.95 mi); residuals are effectively zero (&lt;0.001 km). Existing 4300 Getwell Rd assessor/permit evidence is preserved as related broader-site construction/property evidence, but the normalized facility address is updated to 4280 Getwell Rd.</x:v>
      </x:c>
      <x:c r="AN215" t="str">
        <x:v>core_data_center</x:v>
      </x:c>
      <x:c r="AO215" s="76" t="b">
        <x:v>1</x:v>
      </x:c>
      <x:c r="AP215" t="str">
        <x:v>5c</x:v>
      </x:c>
      <x:c r="AQ215" t="str">
        <x:v>5c mem01</x:v>
      </x:c>
      <x:c r="AR215" t="str">
        <x:v>4280 getwell rd</x:v>
      </x:c>
    </x:row>
    <x:row r="216">
      <x:c r="A216" t="str">
        <x:v>tpucdockets.tn.gov</x:v>
      </x:c>
      <x:c r="B216" t="str">
        <x:v>jea-audit:jackson-data-2342-north-parkway-east</x:v>
      </x:c>
      <x:c r="C216" t="str">
        <x:v>GRIID / CleanSpark Jackson 60 MW Bitcoin Mining Project</x:v>
      </x:c>
      <x:c r="D216"/>
      <x:c r="E216" t="str">
        <x:v>CleanSpark / GRIID Infrastructure</x:v>
      </x:c>
      <x:c r="F216"/>
      <x:c r="G216" t="str">
        <x:v>2342 North Parkway East</x:v>
      </x:c>
      <x:c r="H216"/>
      <x:c r="I216" t="str">
        <x:v>Jackson</x:v>
      </x:c>
      <x:c r="J216" t="str">
        <x:v>Madison</x:v>
      </x:c>
      <x:c r="K216" t="str">
        <x:v>TN</x:v>
      </x:c>
      <x:c r="L216"/>
      <x:c r="M216"/>
      <x:c r="N216"/>
      <x:c r="O216" t="str">
        <x:v>address_or_site</x:v>
      </x:c>
      <x:c r="P216" t="str">
        <x:v>high</x:v>
      </x:c>
      <x:c r="Q216" t="str">
        <x:v>Jackson Energy Authority audited filing</x:v>
      </x:c>
      <x:c r="R216" t="str">
        <x:v>operational/current successor listing</x:v>
      </x:c>
      <x:c r="S216" t="str">
        <x:v>operational</x:v>
      </x:c>
      <x:c r="T216" t="str">
        <x:v>crypto_mining</x:v>
      </x:c>
      <x:c r="U216"/>
      <x:c r="V216" t="n">
        <x:v>60</x:v>
      </x:c>
      <x:c r="W216"/>
      <x:c r="X216"/>
      <x:c r="Y216"/>
      <x:c r="Z216" t="n">
        <x:v>15</x:v>
      </x:c>
      <x:c r="AA216"/>
      <x:c r="AB216"/>
      <x:c r="AC216"/>
      <x:c r="AD216"/>
      <x:c r="AE216"/>
      <x:c r="AF216"/>
      <x:c r="AG216"/>
      <x:c r="AH216"/>
      <x:c r="AI216" t="str">
        <x:v>2026-09-04</x:v>
      </x:c>
      <x:c r="AJ216" t="str">
        <x:v>https://tpucdockets.tn.gov/archive/filings/2003/0300438ar.pdf | https://www.sec.gov/Archives/edgar/data/1830029/000119312524000728/d941597dex211.htm | https://baxtel.com/data-center/cleanspark-jackson-tn</x:v>
      </x:c>
      <x:c r="AK216" t="str">
        <x:v>https://tpucdockets.tn.gov/archive/filings/2003/0300438ar.pdf</x:v>
      </x:c>
      <x:c r="AL216" t="str">
        <x:v>https://tpucdockets.tn.gov/archive/filings/2003/0300438ar.pdf</x:v>
      </x:c>
      <x:c r="AM216" t="str">
        <x:v>JEA filing directly names Jackson Data LLC at 2342 North Parkway East and 60MW data-center load; SEC identifies Jackson Data LLC as GRIID subsidiary; current Baxtel identifies CleanSpark Jackson as operational.</x:v>
      </x:c>
      <x:c r="AN216" t="str">
        <x:v>crypto_mining</x:v>
      </x:c>
      <x:c r="AO216" s="76" t="b">
        <x:v>0</x:v>
      </x:c>
      <x:c r="AP216" t="str">
        <x:v>cleanspark griid infrastructure</x:v>
      </x:c>
      <x:c r="AQ216" t="str">
        <x:v>griid cleanspark jackson 60 mw bitcoin mining project</x:v>
      </x:c>
      <x:c r="AR216" t="str">
        <x:v>2342 north parkway east</x:v>
      </x:c>
    </x:row>
    <x:row r="217">
      <x:c r="A217" t="str">
        <x:v>baxtel-derived</x:v>
      </x:c>
      <x:c r="B217" t="str">
        <x:v>atmosphere-nashville-market-pin</x:v>
      </x:c>
      <x:c r="C217" t="str">
        <x:v>Atmosphere Nashville 120 MW Campus</x:v>
      </x:c>
      <x:c r="D217"/>
      <x:c r="E217" t="str">
        <x:v>Atmosphere Data Centers</x:v>
      </x:c>
      <x:c r="F217"/>
      <x:c r="G217"/>
      <x:c r="H217"/>
      <x:c r="I217" t="str">
        <x:v>Nashville</x:v>
      </x:c>
      <x:c r="J217" t="str">
        <x:v>Davidson</x:v>
      </x:c>
      <x:c r="K217" t="str">
        <x:v>TN</x:v>
      </x:c>
      <x:c r="L217"/>
      <x:c r="M217" t="n">
        <x:v>36.16488198</x:v>
      </x:c>
      <x:c r="N217" t="n">
        <x:v>-86.78088767</x:v>
      </x:c>
      <x:c r="O217" t="str">
        <x:v>area_or_city</x:v>
      </x:c>
      <x:c r="P217" t="str">
        <x:v>low</x:v>
      </x:c>
      <x:c r="Q217" t="str">
        <x:v>multilaterated directory market pin from nearest-facility distances</x:v>
      </x:c>
      <x:c r="R217" t="str">
        <x:v>in development</x:v>
      </x:c>
      <x:c r="S217" t="str">
        <x:v>proposed</x:v>
      </x:c>
      <x:c r="T217" t="str">
        <x:v>data_center</x:v>
      </x:c>
      <x:c r="U217"/>
      <x:c r="V217" t="n">
        <x:v>120</x:v>
      </x:c>
      <x:c r="W217"/>
      <x:c r="X217"/>
      <x:c r="Y217"/>
      <x:c r="Z217" t="n">
        <x:v>38</x:v>
      </x:c>
      <x:c r="AA217"/>
      <x:c r="AB217"/>
      <x:c r="AC217"/>
      <x:c r="AD217"/>
      <x:c r="AE217"/>
      <x:c r="AF217"/>
      <x:c r="AG217"/>
      <x:c r="AH217"/>
      <x:c r="AI217" t="str">
        <x:v>2026-09-04</x:v>
      </x:c>
      <x:c r="AJ217" t="str">
        <x:v>https://atmosphere-dc.com/data-centers/nashville-tn/ | https://baxtel.com/data-center/h5-data-centers-nashville-tn01 | https://baxtel.com/data-center/h5-data-centers-nashville-tn02 | https://baxtel.com/data-center/edgeconnex-nashville | https://baxtel.com/data-center/dc-blox-nashville | https://baxtel.com/data-center/lumen-nashville-2</x:v>
      </x:c>
      <x:c r="AK217" t="str">
        <x:v>https://baxtel.com/</x:v>
      </x:c>
      <x:c r="AL217" t="str">
        <x:v>https://atmosphere-dc.com/data-centers/nashville-tn/</x:v>
      </x:c>
      <x:c r="AM217" t="str">
        <x:v>Derived pin is near downtown carrier hotels and is inconsistent with a 38-acre parcel. Retained solely as area_or_city/low directory market location; exclude from site-level analyses.</x:v>
      </x:c>
      <x:c r="AN217" t="str">
        <x:v>core_data_center</x:v>
      </x:c>
      <x:c r="AO217" s="76" t="b">
        <x:v>0</x:v>
      </x:c>
      <x:c r="AP217" t="str">
        <x:v>atmosphere data centers</x:v>
      </x:c>
      <x:c r="AQ217" t="str">
        <x:v>atmosphere nashville 120 mw campus</x:v>
      </x:c>
      <x:c r="AR217"/>
    </x:row>
  </x:sheetData>
  <x:dataValidations count="7">
    <x:dataValidation type="list" sqref="K2:K5000">
      <x:formula1>"TN"</x:formula1>
    </x:dataValidation>
    <x:dataValidation type="decimal" operator="between" sqref="M2:M5000">
      <x:formula1>-90</x:formula1>
      <x:formula2>90</x:formula2>
    </x:dataValidation>
    <x:dataValidation type="decimal" operator="between" sqref="N2:N5000">
      <x:formula1>-180</x:formula1>
      <x:formula2>180</x:formula2>
    </x:dataValidation>
    <x:dataValidation type="list" sqref="O2:O5000">
      <x:formula1>"exact,address_or_site,approximate_site,approximate,area_or_city"</x:formula1>
    </x:dataValidation>
    <x:dataValidation type="list" sqref="S2:S5000">
      <x:formula1>"operational,under_construction,proposed,expanding,cancelled,suspended,decommissioned"</x:formula1>
    </x:dataValidation>
    <x:dataValidation type="list" sqref="T2:T5000">
      <x:formula1>"data_center,interconnection_facility,crypto_mining,power_generation,support_infrastructure"</x:formula1>
    </x:dataValidation>
    <x:dataValidation type="list" sqref="AO2:AO5000">
      <x:formula1>"true,false"</x:formula1>
    </x:dataValidation>
  </x:dataValidations>
  <x:pageMargins left="0.7" right="0.7" top="0.75" bottom="0.75" header="0.3" footer="0.3"/>
  <x:tableParts count="1">
    <x:tablePart xmlns:r="http://schemas.openxmlformats.org/officeDocument/2006/relationships" r:id="R36dc408234cd43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5" hidden="0" customWidth="1"/>
    <x:col min="4" max="4" width="45" hidden="0" customWidth="1"/>
    <x:col min="5" max="5" width="34" hidden="0" customWidth="1"/>
    <x:col min="6" max="6" width="34" hidden="0" customWidth="1"/>
    <x:col min="7" max="7" width="17" hidden="0" customWidth="1"/>
    <x:col min="8" max="8" width="17" hidden="0" customWidth="1"/>
    <x:col min="9" max="9" width="15" hidden="0" customWidth="1"/>
    <x:col min="10" max="10" width="17" hidden="0" customWidth="1"/>
    <x:col min="11" max="11" width="34" hidden="0" customWidth="1"/>
    <x:col min="12" max="12" width="17" hidden="0" customWidth="1"/>
    <x:col min="13" max="13" width="17" hidden="0" customWidth="1"/>
    <x:col min="14" max="14" width="60" hidden="0" customWidth="1"/>
    <x:col min="15" max="15" width="18" hidden="0" customWidth="1"/>
    <x:col min="16" max="16" width="60" hidden="0" customWidth="1"/>
  </x:cols>
  <x:sheetData>
    <x:row r="1" ht="32" customHeight="1">
      <x:c r="A1" s="9" t="str">
        <x:v>left_record</x:v>
      </x:c>
      <x:c r="B1" s="10" t="str">
        <x:v>right_record</x:v>
      </x:c>
      <x:c r="C1" s="10" t="str">
        <x:v>left_name</x:v>
      </x:c>
      <x:c r="D1" s="10" t="str">
        <x:v>right_name</x:v>
      </x:c>
      <x:c r="E1" s="10" t="str">
        <x:v>left_operator</x:v>
      </x:c>
      <x:c r="F1" s="10" t="str">
        <x:v>right_operator</x:v>
      </x:c>
      <x:c r="G1" s="10" t="str">
        <x:v>left_city</x:v>
      </x:c>
      <x:c r="H1" s="10" t="str">
        <x:v>right_city</x:v>
      </x:c>
      <x:c r="I1" s="10" t="str">
        <x:v>distance_km</x:v>
      </x:c>
      <x:c r="J1" s="10" t="str">
        <x:v>name_similarity</x:v>
      </x:c>
      <x:c r="K1" s="10" t="str">
        <x:v>operator_similarity</x:v>
      </x:c>
      <x:c r="L1" s="10" t="str">
        <x:v>address_exact</x:v>
      </x:c>
      <x:c r="M1" s="10" t="str">
        <x:v>match_score</x:v>
      </x:c>
      <x:c r="N1" s="10" t="str">
        <x:v>evidence</x:v>
      </x:c>
      <x:c r="O1" s="10" t="str">
        <x:v>decision</x:v>
      </x:c>
      <x:c r="P1" s="11" t="str">
        <x:v>rationale</x:v>
      </x:c>
    </x:row>
    <x:row r="2" ht="32" hidden="0" customHeight="1">
      <x:c r="A2" s="37" t="str">
        <x:v>peeringdb:2958</x:v>
      </x:c>
      <x:c r="B2" s="22" t="str">
        <x:v>compute_atlas:databank-mem1-memphis-tn</x:v>
      </x:c>
      <x:c r="C2" s="22" t="str">
        <x:v>DataBank Memphis (MEM1)</x:v>
      </x:c>
      <x:c r="D2" s="22" t="str">
        <x:v>DataBank MEM1 (Memphis)</x:v>
      </x:c>
      <x:c r="E2" s="22" t="str">
        <x:v>DataBank, Ltd.</x:v>
      </x:c>
      <x:c r="F2" s="22" t="str">
        <x:v>DataBank</x:v>
      </x:c>
      <x:c r="G2" s="14" t="str">
        <x:v>Memphis</x:v>
      </x:c>
      <x:c r="H2" s="14" t="str">
        <x:v>Memphis</x:v>
      </x:c>
      <x:c r="I2" s="31" t="str">
        <x:v>0.1188</x:v>
      </x:c>
      <x:c r="J2" s="31" t="str">
        <x:v>1.0</x:v>
      </x:c>
      <x:c r="K2" s="40" t="str">
        <x:v>1.0</x:v>
      </x:c>
      <x:c r="L2" s="14" t="str">
        <x:v>False</x:v>
      </x:c>
      <x:c r="M2" s="31" t="str">
        <x:v>0.8</x:v>
      </x:c>
      <x:c r="N2" s="22" t="str">
        <x:v>distance_le_0.5km | same_operator | similar_name | same_city_or_county</x:v>
      </x:c>
      <x:c r="O2" s="14" t="str">
        <x:v>auto_merge</x:v>
      </x:c>
      <x:c r="P2" s="43" t="str"/>
    </x:row>
    <x:row r="3" ht="32" hidden="0" customHeight="1">
      <x:c r="A3" s="38" t="str">
        <x:v>peeringdb:312</x:v>
      </x:c>
      <x:c r="B3" s="23" t="str">
        <x:v>peeringdb:3925</x:v>
      </x:c>
      <x:c r="C3" s="23" t="str">
        <x:v>IRIS - Nashville</x:v>
      </x:c>
      <x:c r="D3" s="23" t="str">
        <x:v>H5 Data Centers Nashville (TN01)</x:v>
      </x:c>
      <x:c r="E3" s="23" t="str">
        <x:v>IRIS</x:v>
      </x:c>
      <x:c r="F3" s="23" t="str">
        <x:v>H5 Data Centers</x:v>
      </x:c>
      <x:c r="G3" s="17" t="str">
        <x:v>Nashville</x:v>
      </x:c>
      <x:c r="H3" s="17" t="str">
        <x:v>Nashville</x:v>
      </x:c>
      <x:c r="I3" s="32" t="str">
        <x:v>0.0</x:v>
      </x:c>
      <x:c r="J3" s="32" t="str">
        <x:v>0.5455</x:v>
      </x:c>
      <x:c r="K3" s="41" t="str">
        <x:v>0.2105</x:v>
      </x:c>
      <x:c r="L3" s="17" t="str">
        <x:v>True</x:v>
      </x:c>
      <x:c r="M3" s="32" t="str">
        <x:v>0.97</x:v>
      </x:c>
      <x:c r="N3" s="23" t="str">
        <x:v>same_normalized_address | distance_le_0.08km | partly_similar_name | same_city_or_county</x:v>
      </x:c>
      <x:c r="O3" s="17" t="str">
        <x:v>auto_merge</x:v>
      </x:c>
      <x:c r="P3" s="44" t="str"/>
    </x:row>
    <x:row r="4" ht="32" hidden="0" customHeight="1">
      <x:c r="A4" s="38" t="str">
        <x:v>peeringdb:4374</x:v>
      </x:c>
      <x:c r="B4" s="23" t="str">
        <x:v>compute_atlas:tierpoint-nashville-tn</x:v>
      </x:c>
      <x:c r="C4" s="23" t="str">
        <x:v>TierPoint Nashville</x:v>
      </x:c>
      <x:c r="D4" s="23" t="str">
        <x:v>TierPoint Nashville</x:v>
      </x:c>
      <x:c r="E4" s="23" t="str">
        <x:v>TierPoint, LLC</x:v>
      </x:c>
      <x:c r="F4" s="23" t="str">
        <x:v>TierPoint</x:v>
      </x:c>
      <x:c r="G4" s="17" t="str">
        <x:v>Franklin</x:v>
      </x:c>
      <x:c r="H4" s="17" t="str">
        <x:v>Franklin</x:v>
      </x:c>
      <x:c r="I4" s="32" t="str">
        <x:v>0.014</x:v>
      </x:c>
      <x:c r="J4" s="32" t="str">
        <x:v>1.0</x:v>
      </x:c>
      <x:c r="K4" s="41" t="str">
        <x:v>1.0</x:v>
      </x:c>
      <x:c r="L4" s="17" t="str">
        <x:v>False</x:v>
      </x:c>
      <x:c r="M4" s="32" t="str">
        <x:v>0.9</x:v>
      </x:c>
      <x:c r="N4" s="23" t="str">
        <x:v>distance_le_0.08km | same_operator | similar_name | same_city_or_county</x:v>
      </x:c>
      <x:c r="O4" s="17" t="str">
        <x:v>auto_merge</x:v>
      </x:c>
      <x:c r="P4" s="44" t="str"/>
    </x:row>
    <x:row r="5" ht="32" hidden="0" customHeight="1">
      <x:c r="A5" s="38" t="str">
        <x:v>peeringdb:5003</x:v>
      </x:c>
      <x:c r="B5" s="23" t="str">
        <x:v>compute_atlas:flexential-nashville-brentwood-nas01-04-tn</x:v>
      </x:c>
      <x:c r="C5" s="23" t="str">
        <x:v>Flexential - Nashville/Brentwood (NAS01/04)</x:v>
      </x:c>
      <x:c r="D5" s="23" t="str">
        <x:v>Flexential Nashville - Brentwood (NAS01/04)</x:v>
      </x:c>
      <x:c r="E5" s="23" t="str">
        <x:v>Flexential Corp.</x:v>
      </x:c>
      <x:c r="F5" s="23" t="str">
        <x:v>Flexential</x:v>
      </x:c>
      <x:c r="G5" s="17" t="str">
        <x:v>Brentwood</x:v>
      </x:c>
      <x:c r="H5" s="17" t="str">
        <x:v>Brentwood</x:v>
      </x:c>
      <x:c r="I5" s="32" t="str">
        <x:v>0.0383</x:v>
      </x:c>
      <x:c r="J5" s="32" t="str">
        <x:v>1.0</x:v>
      </x:c>
      <x:c r="K5" s="41" t="str">
        <x:v>1.0</x:v>
      </x:c>
      <x:c r="L5" s="17" t="str">
        <x:v>True</x:v>
      </x:c>
      <x:c r="M5" s="32" t="str">
        <x:v>1.0</x:v>
      </x:c>
      <x:c r="N5" s="23" t="str">
        <x:v>same_normalized_address | distance_le_0.08km | same_operator | similar_name | same_city_or_county</x:v>
      </x:c>
      <x:c r="O5" s="17" t="str">
        <x:v>auto_merge</x:v>
      </x:c>
      <x:c r="P5" s="44" t="str"/>
    </x:row>
    <x:row r="6" ht="32" hidden="0" customHeight="1">
      <x:c r="A6" s="38" t="str">
        <x:v>peeringdb:5004</x:v>
      </x:c>
      <x:c r="B6" s="23" t="str">
        <x:v>compute_atlas:flexential-nashville-cool-springs-tn</x:v>
      </x:c>
      <x:c r="C6" s="23" t="str">
        <x:v>Flexential - Nashville/Cool Springs (NAS02/03)</x:v>
      </x:c>
      <x:c r="D6" s="23" t="str">
        <x:v>Flexential Nashville - Cool Springs</x:v>
      </x:c>
      <x:c r="E6" s="23" t="str">
        <x:v>Flexential Corp.</x:v>
      </x:c>
      <x:c r="F6" s="23" t="str">
        <x:v>Flexential</x:v>
      </x:c>
      <x:c r="G6" s="17" t="str">
        <x:v>Franklin</x:v>
      </x:c>
      <x:c r="H6" s="17" t="str">
        <x:v>Franklin</x:v>
      </x:c>
      <x:c r="I6" s="32" t="str">
        <x:v>0.0149</x:v>
      </x:c>
      <x:c r="J6" s="32" t="str">
        <x:v>0.88</x:v>
      </x:c>
      <x:c r="K6" s="41" t="str">
        <x:v>1.0</x:v>
      </x:c>
      <x:c r="L6" s="17" t="str">
        <x:v>True</x:v>
      </x:c>
      <x:c r="M6" s="32" t="str">
        <x:v>1.0</x:v>
      </x:c>
      <x:c r="N6" s="23" t="str">
        <x:v>same_normalized_address | distance_le_0.08km | same_operator | similar_name | same_city_or_county</x:v>
      </x:c>
      <x:c r="O6" s="17" t="str">
        <x:v>auto_merge</x:v>
      </x:c>
      <x:c r="P6" s="44" t="str"/>
    </x:row>
    <x:row r="7" ht="32" hidden="0" customHeight="1">
      <x:c r="A7" s="38" t="str">
        <x:v>peeringdb:5005</x:v>
      </x:c>
      <x:c r="B7" s="23" t="str">
        <x:v>compute_atlas:flexential-nashville-franklin-tn</x:v>
      </x:c>
      <x:c r="C7" s="23" t="str">
        <x:v>Flexential - Nashville/Franklin (NAS05/06)</x:v>
      </x:c>
      <x:c r="D7" s="23" t="str">
        <x:v>Flexential Nashville - Franklin</x:v>
      </x:c>
      <x:c r="E7" s="23" t="str">
        <x:v>Flexential Corp.</x:v>
      </x:c>
      <x:c r="F7" s="23" t="str">
        <x:v>Flexential</x:v>
      </x:c>
      <x:c r="G7" s="17" t="str">
        <x:v>Franklin</x:v>
      </x:c>
      <x:c r="H7" s="17" t="str">
        <x:v>Franklin</x:v>
      </x:c>
      <x:c r="I7" s="32" t="str">
        <x:v>0.0171</x:v>
      </x:c>
      <x:c r="J7" s="32" t="str">
        <x:v>0.8657</x:v>
      </x:c>
      <x:c r="K7" s="41" t="str">
        <x:v>1.0</x:v>
      </x:c>
      <x:c r="L7" s="17" t="str">
        <x:v>True</x:v>
      </x:c>
      <x:c r="M7" s="32" t="str">
        <x:v>1.0</x:v>
      </x:c>
      <x:c r="N7" s="23" t="str">
        <x:v>same_normalized_address | distance_le_0.08km | same_operator | similar_name | same_city_or_county</x:v>
      </x:c>
      <x:c r="O7" s="17" t="str">
        <x:v>auto_merge</x:v>
      </x:c>
      <x:c r="P7" s="44" t="str"/>
    </x:row>
    <x:row r="8" ht="32" hidden="0" customHeight="1">
      <x:c r="A8" s="38" t="str">
        <x:v>peeringdb:561</x:v>
      </x:c>
      <x:c r="B8" s="23" t="str">
        <x:v>fractracker:1772678598263-1520</x:v>
      </x:c>
      <x:c r="C8" s="23" t="str">
        <x:v>H5 Data Centers Nashville</x:v>
      </x:c>
      <x:c r="D8" s="23" t="str">
        <x:v>H5 Data Center</x:v>
      </x:c>
      <x:c r="E8" s="23" t="str">
        <x:v>H5 Data Centers</x:v>
      </x:c>
      <x:c r="F8" s="23" t="str"/>
      <x:c r="G8" s="17" t="str">
        <x:v>Nashville</x:v>
      </x:c>
      <x:c r="H8" s="17" t="str">
        <x:v>Nashville</x:v>
      </x:c>
      <x:c r="I8" s="32" t="str">
        <x:v>0.0197</x:v>
      </x:c>
      <x:c r="J8" s="32" t="str">
        <x:v>0.7179</x:v>
      </x:c>
      <x:c r="K8" s="41" t="str">
        <x:v>0.0</x:v>
      </x:c>
      <x:c r="L8" s="17" t="str">
        <x:v>True</x:v>
      </x:c>
      <x:c r="M8" s="32" t="str">
        <x:v>1.0</x:v>
      </x:c>
      <x:c r="N8" s="23" t="str">
        <x:v>same_normalized_address | distance_le_0.08km | similar_name | same_city_or_county</x:v>
      </x:c>
      <x:c r="O8" s="17" t="str">
        <x:v>auto_merge</x:v>
      </x:c>
      <x:c r="P8" s="44" t="str"/>
    </x:row>
    <x:row r="9" ht="32" hidden="0" customHeight="1">
      <x:c r="A9" s="38" t="str">
        <x:v>peeringdb:7217</x:v>
      </x:c>
      <x:c r="B9" s="23" t="str">
        <x:v>fractracker:493</x:v>
      </x:c>
      <x:c r="C9" s="23" t="str">
        <x:v>DC BLOX CHA1 - DCBLOX Chattanooga</x:v>
      </x:c>
      <x:c r="D9" s="23" t="str">
        <x:v>DC Blox</x:v>
      </x:c>
      <x:c r="E9" s="23" t="str">
        <x:v>DC BLOX Parent LLC</x:v>
      </x:c>
      <x:c r="F9" s="23" t="str"/>
      <x:c r="G9" s="17" t="str">
        <x:v>Chattanooga</x:v>
      </x:c>
      <x:c r="H9" s="17" t="str">
        <x:v>Chattanooga</x:v>
      </x:c>
      <x:c r="I9" s="32" t="str">
        <x:v>0.0035</x:v>
      </x:c>
      <x:c r="J9" s="32" t="str">
        <x:v>0.4</x:v>
      </x:c>
      <x:c r="K9" s="41" t="str">
        <x:v>0.0</x:v>
      </x:c>
      <x:c r="L9" s="17" t="str">
        <x:v>True</x:v>
      </x:c>
      <x:c r="M9" s="32" t="str">
        <x:v>0.97</x:v>
      </x:c>
      <x:c r="N9" s="23" t="str">
        <x:v>same_normalized_address | distance_le_0.08km | partly_similar_name | same_city_or_county</x:v>
      </x:c>
      <x:c r="O9" s="17" t="str">
        <x:v>auto_merge</x:v>
      </x:c>
      <x:c r="P9" s="44" t="str"/>
    </x:row>
    <x:row r="10" ht="32" hidden="0" customHeight="1">
      <x:c r="A10" s="38" t="str">
        <x:v>compute_atlas:centersquare-gallatin-tn</x:v>
      </x:c>
      <x:c r="B10" s="23" t="str">
        <x:v>compute_atlas:meta-gallatin-tn</x:v>
      </x:c>
      <x:c r="C10" s="23" t="str">
        <x:v>Centersquare Gallatin (NAS) Campus</x:v>
      </x:c>
      <x:c r="D10" s="23" t="str">
        <x:v>Meta Gallatin Data Center Campus</x:v>
      </x:c>
      <x:c r="E10" s="23" t="str">
        <x:v>Centersquare</x:v>
      </x:c>
      <x:c r="F10" s="23" t="str">
        <x:v>Meta</x:v>
      </x:c>
      <x:c r="G10" s="17" t="str">
        <x:v>Gallatin</x:v>
      </x:c>
      <x:c r="H10" s="17" t="str">
        <x:v>Gallatin</x:v>
      </x:c>
      <x:c r="I10" s="32" t="str">
        <x:v>3.8833</x:v>
      </x:c>
      <x:c r="J10" s="32" t="str">
        <x:v>0.6562</x:v>
      </x:c>
      <x:c r="K10" s="41" t="str">
        <x:v>0.375</x:v>
      </x:c>
      <x:c r="L10" s="17" t="str">
        <x:v>False</x:v>
      </x:c>
      <x:c r="M10" s="32" t="str">
        <x:v>0.3</x:v>
      </x:c>
      <x:c r="N10" s="23" t="str">
        <x:v>similar_name | same_city_or_county</x:v>
      </x:c>
      <x:c r="O10" s="17" t="str">
        <x:v>curated_keep_separate</x:v>
      </x:c>
      <x:c r="P10" s="44" t="str">
        <x:v>Different operators and distinct Gallatin campuses.</x:v>
      </x:c>
    </x:row>
    <x:row r="11" ht="32" hidden="0" customHeight="1">
      <x:c r="A11" s="38" t="str">
        <x:v>compute_atlas:cielo-clarksville-tn</x:v>
      </x:c>
      <x:c r="B11" s="23" t="str">
        <x:v>compute_atlas:google-montgomery-county-tn</x:v>
      </x:c>
      <x:c r="C11" s="23" t="str">
        <x:v>Cielo Montgomery County AI Campus</x:v>
      </x:c>
      <x:c r="D11" s="23" t="str">
        <x:v>Google Montgomery County Data Center</x:v>
      </x:c>
      <x:c r="E11" s="23" t="str">
        <x:v>Cielo Digital Infrastructure</x:v>
      </x:c>
      <x:c r="F11" s="23" t="str">
        <x:v>Google</x:v>
      </x:c>
      <x:c r="G11" s="17" t="str">
        <x:v>Clarksville</x:v>
      </x:c>
      <x:c r="H11" s="17" t="str">
        <x:v>Clarksville</x:v>
      </x:c>
      <x:c r="I11" s="32" t="str">
        <x:v>0.3482</x:v>
      </x:c>
      <x:c r="J11" s="32" t="str">
        <x:v>0.6667</x:v>
      </x:c>
      <x:c r="K11" s="41" t="str">
        <x:v>0.0588</x:v>
      </x:c>
      <x:c r="L11" s="17" t="str">
        <x:v>False</x:v>
      </x:c>
      <x:c r="M11" s="32" t="str">
        <x:v>0.55</x:v>
      </x:c>
      <x:c r="N11" s="23" t="str">
        <x:v>distance_le_0.5km | similar_name | same_city_or_county</x:v>
      </x:c>
      <x:c r="O11" s="17" t="str">
        <x:v>curated_keep_separate</x:v>
      </x:c>
      <x:c r="P11" s="44" t="str">
        <x:v>Different operators and separately named projects despite nearby coordinates.</x:v>
      </x:c>
    </x:row>
    <x:row r="12" ht="32" hidden="0" customHeight="1">
      <x:c r="A12" s="38" t="str">
        <x:v>compute_atlas:cleanspark-campbell-junction-tn</x:v>
      </x:c>
      <x:c r="B12" s="23" t="str">
        <x:v>compute_atlas:cleanspark-west-crossville-tn</x:v>
      </x:c>
      <x:c r="C12" s="23" t="str">
        <x:v>CleanSpark Campbell Junction Bitcoin Mining Facility</x:v>
      </x:c>
      <x:c r="D12" s="23" t="str">
        <x:v>CleanSpark West Crossville Bitcoin Mining Facility</x:v>
      </x:c>
      <x:c r="E12" s="23" t="str">
        <x:v>CleanSpark, Inc.</x:v>
      </x:c>
      <x:c r="F12" s="23" t="str">
        <x:v>CleanSpark, Inc.</x:v>
      </x:c>
      <x:c r="G12" s="17" t="str">
        <x:v>Campbell Junction</x:v>
      </x:c>
      <x:c r="H12" s="17" t="str">
        <x:v>Crossville</x:v>
      </x:c>
      <x:c r="I12" s="32" t="str">
        <x:v>16.5903</x:v>
      </x:c>
      <x:c r="J12" s="32" t="str">
        <x:v>0.7451</x:v>
      </x:c>
      <x:c r="K12" s="41" t="str">
        <x:v>1.0</x:v>
      </x:c>
      <x:c r="L12" s="17" t="str">
        <x:v>False</x:v>
      </x:c>
      <x:c r="M12" s="32" t="str">
        <x:v>0.55</x:v>
      </x:c>
      <x:c r="N12" s="23" t="str">
        <x:v>same_operator | similar_name | same_city_or_county</x:v>
      </x:c>
      <x:c r="O12" s="17" t="str">
        <x:v>curated_keep_separate</x:v>
      </x:c>
      <x:c r="P12" s="44" t="str">
        <x:v>Distinct CleanSpark locations and facility names.</x:v>
      </x:c>
    </x:row>
    <x:row r="13" ht="32" hidden="0" customHeight="1">
      <x:c r="A13" s="38" t="str">
        <x:v>compute_atlas:cleanspark-oneida-tn</x:v>
      </x:c>
      <x:c r="B13" s="23" t="str">
        <x:v>compute_atlas:cleanspark-winfield-tn</x:v>
      </x:c>
      <x:c r="C13" s="23" t="str">
        <x:v>CleanSpark Oneida Bitcoin Mining Facility</x:v>
      </x:c>
      <x:c r="D13" s="23" t="str">
        <x:v>CleanSpark Winfield Bitcoin Mining Facility</x:v>
      </x:c>
      <x:c r="E13" s="23" t="str">
        <x:v>CleanSpark, Inc.</x:v>
      </x:c>
      <x:c r="F13" s="23" t="str">
        <x:v>CleanSpark, Inc.</x:v>
      </x:c>
      <x:c r="G13" s="17" t="str">
        <x:v>Oneida</x:v>
      </x:c>
      <x:c r="H13" s="17" t="str">
        <x:v>Winfield</x:v>
      </x:c>
      <x:c r="I13" s="32" t="str">
        <x:v>9.0064</x:v>
      </x:c>
      <x:c r="J13" s="32" t="str">
        <x:v>0.9048</x:v>
      </x:c>
      <x:c r="K13" s="41" t="str">
        <x:v>1.0</x:v>
      </x:c>
      <x:c r="L13" s="17" t="str">
        <x:v>False</x:v>
      </x:c>
      <x:c r="M13" s="32" t="str">
        <x:v>0.55</x:v>
      </x:c>
      <x:c r="N13" s="23" t="str">
        <x:v>same_operator | similar_name | same_city_or_county</x:v>
      </x:c>
      <x:c r="O13" s="17" t="str">
        <x:v>curated_keep_separate</x:v>
      </x:c>
      <x:c r="P13" s="44" t="str">
        <x:v>Distinct CleanSpark locations and facility names.</x:v>
      </x:c>
    </x:row>
    <x:row r="14" ht="32" hidden="0" customHeight="1">
      <x:c r="A14" s="38" t="str">
        <x:v>compute_atlas:flexential-nashville-brentwood-nas01-04-tn</x:v>
      </x:c>
      <x:c r="B14" s="23" t="str">
        <x:v>compute_atlas:flexential-nashville-cool-springs-tn</x:v>
      </x:c>
      <x:c r="C14" s="23" t="str">
        <x:v>Flexential Nashville - Brentwood (NAS01/04)</x:v>
      </x:c>
      <x:c r="D14" s="23" t="str">
        <x:v>Flexential Nashville - Cool Springs</x:v>
      </x:c>
      <x:c r="E14" s="23" t="str">
        <x:v>Flexential</x:v>
      </x:c>
      <x:c r="F14" s="23" t="str">
        <x:v>Flexential</x:v>
      </x:c>
      <x:c r="G14" s="17" t="str">
        <x:v>Brentwood</x:v>
      </x:c>
      <x:c r="H14" s="17" t="str">
        <x:v>Franklin</x:v>
      </x:c>
      <x:c r="I14" s="32" t="str">
        <x:v>3.2925</x:v>
      </x:c>
      <x:c r="J14" s="32" t="str">
        <x:v>0.7222</x:v>
      </x:c>
      <x:c r="K14" s="41" t="str">
        <x:v>1.0</x:v>
      </x:c>
      <x:c r="L14" s="17" t="str">
        <x:v>False</x:v>
      </x:c>
      <x:c r="M14" s="32" t="str">
        <x:v>0.55</x:v>
      </x:c>
      <x:c r="N14" s="23" t="str">
        <x:v>same_operator | similar_name | same_city_or_county</x:v>
      </x:c>
      <x:c r="O14" s="17" t="str">
        <x:v>curated_keep_separate</x:v>
      </x:c>
      <x:c r="P14" s="44" t="str">
        <x:v>Different named Flexential facilities and coordinates.</x:v>
      </x:c>
    </x:row>
    <x:row r="15" ht="32" hidden="0" customHeight="1">
      <x:c r="A15" s="38" t="str">
        <x:v>compute_atlas:flexential-nashville-brentwood-nas01-04-tn</x:v>
      </x:c>
      <x:c r="B15" s="23" t="str">
        <x:v>compute_atlas:flexential-nashville-franklin-tn</x:v>
      </x:c>
      <x:c r="C15" s="23" t="str">
        <x:v>Flexential Nashville - Brentwood (NAS01/04)</x:v>
      </x:c>
      <x:c r="D15" s="23" t="str">
        <x:v>Flexential Nashville - Franklin</x:v>
      </x:c>
      <x:c r="E15" s="23" t="str">
        <x:v>Flexential</x:v>
      </x:c>
      <x:c r="F15" s="23" t="str">
        <x:v>Flexential</x:v>
      </x:c>
      <x:c r="G15" s="17" t="str">
        <x:v>Brentwood</x:v>
      </x:c>
      <x:c r="H15" s="17" t="str">
        <x:v>Franklin</x:v>
      </x:c>
      <x:c r="I15" s="32" t="str">
        <x:v>5.851</x:v>
      </x:c>
      <x:c r="J15" s="32" t="str">
        <x:v>0.7059</x:v>
      </x:c>
      <x:c r="K15" s="41" t="str">
        <x:v>1.0</x:v>
      </x:c>
      <x:c r="L15" s="17" t="str">
        <x:v>False</x:v>
      </x:c>
      <x:c r="M15" s="32" t="str">
        <x:v>0.55</x:v>
      </x:c>
      <x:c r="N15" s="23" t="str">
        <x:v>same_operator | similar_name | same_city_or_county</x:v>
      </x:c>
      <x:c r="O15" s="17" t="str">
        <x:v>curated_keep_separate</x:v>
      </x:c>
      <x:c r="P15" s="44" t="str">
        <x:v>Different named Flexential facilities and coordinates.</x:v>
      </x:c>
    </x:row>
    <x:row r="16" ht="32" hidden="0" customHeight="1">
      <x:c r="A16" s="38" t="str">
        <x:v>compute_atlas:flexential-nashville-cool-springs-tn</x:v>
      </x:c>
      <x:c r="B16" s="23" t="str">
        <x:v>compute_atlas:flexential-nashville-franklin-tn</x:v>
      </x:c>
      <x:c r="C16" s="23" t="str">
        <x:v>Flexential Nashville - Cool Springs</x:v>
      </x:c>
      <x:c r="D16" s="23" t="str">
        <x:v>Flexential Nashville - Franklin</x:v>
      </x:c>
      <x:c r="E16" s="23" t="str">
        <x:v>Flexential</x:v>
      </x:c>
      <x:c r="F16" s="23" t="str">
        <x:v>Flexential</x:v>
      </x:c>
      <x:c r="G16" s="17" t="str">
        <x:v>Franklin</x:v>
      </x:c>
      <x:c r="H16" s="17" t="str">
        <x:v>Franklin</x:v>
      </x:c>
      <x:c r="I16" s="32" t="str">
        <x:v>3.7661</x:v>
      </x:c>
      <x:c r="J16" s="32" t="str">
        <x:v>0.7742</x:v>
      </x:c>
      <x:c r="K16" s="41" t="str">
        <x:v>1.0</x:v>
      </x:c>
      <x:c r="L16" s="17" t="str">
        <x:v>False</x:v>
      </x:c>
      <x:c r="M16" s="32" t="str">
        <x:v>0.55</x:v>
      </x:c>
      <x:c r="N16" s="23" t="str">
        <x:v>same_operator | similar_name | same_city_or_county</x:v>
      </x:c>
      <x:c r="O16" s="17" t="str">
        <x:v>curated_keep_separate</x:v>
      </x:c>
      <x:c r="P16" s="44" t="str">
        <x:v>Different named Flexential facilities and coordinates.</x:v>
      </x:c>
    </x:row>
    <x:row r="17" ht="32" hidden="0" customHeight="1">
      <x:c r="A17" s="38" t="str">
        <x:v>fractracker:1780860040054-4476</x:v>
      </x:c>
      <x:c r="B17" s="23" t="str">
        <x:v>fractracker:1772678598263-1520</x:v>
      </x:c>
      <x:c r="C17" s="23" t="str">
        <x:v>DC Blox Data Center</x:v>
      </x:c>
      <x:c r="D17" s="23" t="str">
        <x:v>H5 Data Center</x:v>
      </x:c>
      <x:c r="E17" s="23" t="str"/>
      <x:c r="F17" s="23" t="str"/>
      <x:c r="G17" s="17" t="str">
        <x:v>Nashville</x:v>
      </x:c>
      <x:c r="H17" s="17" t="str">
        <x:v>Nashville</x:v>
      </x:c>
      <x:c r="I17" s="32" t="str">
        <x:v>8.5211</x:v>
      </x:c>
      <x:c r="J17" s="32" t="str">
        <x:v>0.7273</x:v>
      </x:c>
      <x:c r="K17" s="41" t="str">
        <x:v>0.0</x:v>
      </x:c>
      <x:c r="L17" s="17" t="str">
        <x:v>False</x:v>
      </x:c>
      <x:c r="M17" s="32" t="str">
        <x:v>0.3</x:v>
      </x:c>
      <x:c r="N17" s="23" t="str">
        <x:v>similar_name | same_city_or_county</x:v>
      </x:c>
      <x:c r="O17" s="17" t="str">
        <x:v>curated_keep_separate</x:v>
      </x:c>
      <x:c r="P17" s="44" t="str">
        <x:v>DC BLOX Grassmere Park and H5 Fourth Avenue are separately named projects.</x:v>
      </x:c>
    </x:row>
    <x:row r="18" ht="32" hidden="0" customHeight="1">
      <x:c r="A18" s="38" t="str">
        <x:v>fractracker:499</x:v>
      </x:c>
      <x:c r="B18" s="23" t="str">
        <x:v>fractracker:500</x:v>
      </x:c>
      <x:c r="C18" s="23" t="str">
        <x:v>xAI Colossus 1</x:v>
      </x:c>
      <x:c r="D18" s="23" t="str">
        <x:v>xAI Colossus 2</x:v>
      </x:c>
      <x:c r="E18" s="23" t="str">
        <x:v>xAI</x:v>
      </x:c>
      <x:c r="F18" s="23" t="str">
        <x:v>xAI</x:v>
      </x:c>
      <x:c r="G18" s="17" t="str">
        <x:v>Memphis</x:v>
      </x:c>
      <x:c r="H18" s="17" t="str">
        <x:v>Memphis</x:v>
      </x:c>
      <x:c r="I18" s="32" t="str">
        <x:v>12.9923</x:v>
      </x:c>
      <x:c r="J18" s="32" t="str">
        <x:v>0.9286</x:v>
      </x:c>
      <x:c r="K18" s="41" t="str">
        <x:v>1.0</x:v>
      </x:c>
      <x:c r="L18" s="17" t="str">
        <x:v>False</x:v>
      </x:c>
      <x:c r="M18" s="32" t="str">
        <x:v>0.55</x:v>
      </x:c>
      <x:c r="N18" s="23" t="str">
        <x:v>same_operator | similar_name | same_city_or_county</x:v>
      </x:c>
      <x:c r="O18" s="17" t="str">
        <x:v>curated_keep_separate</x:v>
      </x:c>
      <x:c r="P18" s="44" t="str">
        <x:v>FracTracker explicitly identifies Colossus 1 and Colossus 2 as separate facilities.</x:v>
      </x:c>
    </x:row>
    <x:row r="19" ht="32" hidden="0" customHeight="1">
      <x:c r="A19" s="38" t="str">
        <x:v>peeringdb:1983</x:v>
      </x:c>
      <x:c r="B19" s="23" t="str">
        <x:v>peeringdb:2936</x:v>
      </x:c>
      <x:c r="C19" s="23" t="str">
        <x:v>Level(3) Nashville (9th Ave)</x:v>
      </x:c>
      <x:c r="D19" s="23" t="str">
        <x:v>Zayo Nashville - 209 10th Ave. S</x:v>
      </x:c>
      <x:c r="E19" s="23" t="str">
        <x:v>Lumen Technologies Inc</x:v>
      </x:c>
      <x:c r="F19" s="23" t="str">
        <x:v>Zayo Group</x:v>
      </x:c>
      <x:c r="G19" s="17" t="str">
        <x:v>Nashville</x:v>
      </x:c>
      <x:c r="H19" s="17" t="str">
        <x:v>Nashville</x:v>
      </x:c>
      <x:c r="I19" s="32" t="str">
        <x:v>4.2452</x:v>
      </x:c>
      <x:c r="J19" s="32" t="str">
        <x:v>0.6667</x:v>
      </x:c>
      <x:c r="K19" s="41" t="str">
        <x:v>0.0714</x:v>
      </x:c>
      <x:c r="L19" s="17" t="str">
        <x:v>False</x:v>
      </x:c>
      <x:c r="M19" s="32" t="str">
        <x:v>0.3</x:v>
      </x:c>
      <x:c r="N19" s="23" t="str">
        <x:v>similar_name | same_city_or_county</x:v>
      </x:c>
      <x:c r="O19" s="17" t="str">
        <x:v>curated_keep_separate</x:v>
      </x:c>
      <x:c r="P19" s="44" t="str">
        <x:v>Different operators and street addresses.</x:v>
      </x:c>
    </x:row>
    <x:row r="20" ht="32" hidden="0" customHeight="1">
      <x:c r="A20" s="38" t="str">
        <x:v>peeringdb:311</x:v>
      </x:c>
      <x:c r="B20" s="23" t="str">
        <x:v>peeringdb:1983</x:v>
      </x:c>
      <x:c r="C20" s="23" t="str">
        <x:v>Level(3) Nashville (Sidco Drive)</x:v>
      </x:c>
      <x:c r="D20" s="23" t="str">
        <x:v>Level(3) Nashville (9th Ave)</x:v>
      </x:c>
      <x:c r="E20" s="23" t="str">
        <x:v>Lumen Technologies Inc</x:v>
      </x:c>
      <x:c r="F20" s="23" t="str">
        <x:v>Lumen Technologies Inc</x:v>
      </x:c>
      <x:c r="G20" s="17" t="str">
        <x:v>Nashville</x:v>
      </x:c>
      <x:c r="H20" s="17" t="str">
        <x:v>Nashville</x:v>
      </x:c>
      <x:c r="I20" s="32" t="str">
        <x:v>10.544</x:v>
      </x:c>
      <x:c r="J20" s="32" t="str">
        <x:v>0.7778</x:v>
      </x:c>
      <x:c r="K20" s="41" t="str">
        <x:v>1.0</x:v>
      </x:c>
      <x:c r="L20" s="17" t="str">
        <x:v>False</x:v>
      </x:c>
      <x:c r="M20" s="32" t="str">
        <x:v>0.55</x:v>
      </x:c>
      <x:c r="N20" s="23" t="str">
        <x:v>same_operator | similar_name | same_city_or_county</x:v>
      </x:c>
      <x:c r="O20" s="17" t="str">
        <x:v>curated_keep_separate</x:v>
      </x:c>
      <x:c r="P20" s="44" t="str">
        <x:v>Separate Lumen/Level(3) Nashville facilities at Sidco Drive and 9th Avenue.</x:v>
      </x:c>
    </x:row>
    <x:row r="21" ht="32" hidden="0" customHeight="1">
      <x:c r="A21" s="38" t="str">
        <x:v>peeringdb:312</x:v>
      </x:c>
      <x:c r="B21" s="23" t="str">
        <x:v>compute_atlas:radiusdc-nashville-i-tn</x:v>
      </x:c>
      <x:c r="C21" s="23" t="str">
        <x:v>IRIS - Nashville</x:v>
      </x:c>
      <x:c r="D21" s="23" t="str">
        <x:v>RadiusDC Nashville I</x:v>
      </x:c>
      <x:c r="E21" s="23" t="str">
        <x:v>IRIS</x:v>
      </x:c>
      <x:c r="F21" s="23" t="str">
        <x:v>RadiusDC</x:v>
      </x:c>
      <x:c r="G21" s="17" t="str">
        <x:v>Nashville</x:v>
      </x:c>
      <x:c r="H21" s="17" t="str">
        <x:v>Nashville</x:v>
      </x:c>
      <x:c r="I21" s="32" t="str">
        <x:v>13.0543</x:v>
      </x:c>
      <x:c r="J21" s="32" t="str">
        <x:v>0.7059</x:v>
      </x:c>
      <x:c r="K21" s="41" t="str">
        <x:v>0.3333</x:v>
      </x:c>
      <x:c r="L21" s="17" t="str">
        <x:v>False</x:v>
      </x:c>
      <x:c r="M21" s="32" t="str">
        <x:v>0.3</x:v>
      </x:c>
      <x:c r="N21" s="23" t="str">
        <x:v>similar_name | same_city_or_county</x:v>
      </x:c>
      <x:c r="O21" s="17" t="str">
        <x:v>curated_keep_separate</x:v>
      </x:c>
      <x:c r="P21" s="44" t="str">
        <x:v>IRIS Commerce Street and RadiusDC Nashville I are distinct projects.</x:v>
      </x:c>
    </x:row>
    <x:row r="22" ht="32" hidden="0" customHeight="1">
      <x:c r="A22" s="38" t="str">
        <x:v>peeringdb:312</x:v>
      </x:c>
      <x:c r="B22" s="23" t="str">
        <x:v>peeringdb:368</x:v>
      </x:c>
      <x:c r="C22" s="23" t="str">
        <x:v>IRIS - Nashville</x:v>
      </x:c>
      <x:c r="D22" s="23" t="str">
        <x:v>XO Nashville</x:v>
      </x:c>
      <x:c r="E22" s="23" t="str">
        <x:v>IRIS</x:v>
      </x:c>
      <x:c r="F22" s="23" t="str">
        <x:v>XO</x:v>
      </x:c>
      <x:c r="G22" s="17" t="str">
        <x:v>Nashville</x:v>
      </x:c>
      <x:c r="H22" s="17" t="str">
        <x:v>Nashville</x:v>
      </x:c>
      <x:c r="I22" s="32" t="str">
        <x:v>0.5417</x:v>
      </x:c>
      <x:c r="J22" s="32" t="str">
        <x:v>0.7692</x:v>
      </x:c>
      <x:c r="K22" s="41" t="str">
        <x:v>0.0</x:v>
      </x:c>
      <x:c r="L22" s="17" t="str">
        <x:v>False</x:v>
      </x:c>
      <x:c r="M22" s="32" t="str">
        <x:v>0.45</x:v>
      </x:c>
      <x:c r="N22" s="23" t="str">
        <x:v>distance_le_1km | similar_name | same_city_or_county</x:v>
      </x:c>
      <x:c r="O22" s="17" t="str">
        <x:v>curated_keep_separate</x:v>
      </x:c>
      <x:c r="P22" s="44" t="str">
        <x:v>IRIS and XO records have different operators and street addresses.</x:v>
      </x:c>
    </x:row>
    <x:row r="23" ht="32" hidden="0" customHeight="1">
      <x:c r="A23" s="38" t="str">
        <x:v>peeringdb:312</x:v>
      </x:c>
      <x:c r="B23" s="23" t="str">
        <x:v>peeringdb:561</x:v>
      </x:c>
      <x:c r="C23" s="23" t="str">
        <x:v>IRIS - Nashville</x:v>
      </x:c>
      <x:c r="D23" s="23" t="str">
        <x:v>H5 Data Centers Nashville</x:v>
      </x:c>
      <x:c r="E23" s="23" t="str">
        <x:v>IRIS</x:v>
      </x:c>
      <x:c r="F23" s="23" t="str">
        <x:v>H5 Data Centers</x:v>
      </x:c>
      <x:c r="G23" s="17" t="str">
        <x:v>Nashville</x:v>
      </x:c>
      <x:c r="H23" s="17" t="str">
        <x:v>Nashville</x:v>
      </x:c>
      <x:c r="I23" s="32" t="str">
        <x:v>0.2117</x:v>
      </x:c>
      <x:c r="J23" s="32" t="str">
        <x:v>0.6154</x:v>
      </x:c>
      <x:c r="K23" s="41" t="str">
        <x:v>0.2105</x:v>
      </x:c>
      <x:c r="L23" s="17" t="str">
        <x:v>False</x:v>
      </x:c>
      <x:c r="M23" s="32" t="str">
        <x:v>0.42</x:v>
      </x:c>
      <x:c r="N23" s="23" t="str">
        <x:v>distance_le_0.5km | partly_similar_name | same_city_or_county</x:v>
      </x:c>
      <x:c r="O23" s="17" t="str">
        <x:v>curated_keep_separate</x:v>
      </x:c>
      <x:c r="P23" s="44" t="str">
        <x:v>211 Commerce Street and 147 Fourth Avenue are separate physical sites.</x:v>
      </x:c>
    </x:row>
    <x:row r="24" ht="32" hidden="0" customHeight="1">
      <x:c r="A24" s="38" t="str">
        <x:v>peeringdb:368</x:v>
      </x:c>
      <x:c r="B24" s="23" t="str">
        <x:v>peeringdb:2936</x:v>
      </x:c>
      <x:c r="C24" s="23" t="str">
        <x:v>XO Nashville</x:v>
      </x:c>
      <x:c r="D24" s="23" t="str">
        <x:v>Zayo Nashville - 209 10th Ave. S</x:v>
      </x:c>
      <x:c r="E24" s="23" t="str">
        <x:v>XO</x:v>
      </x:c>
      <x:c r="F24" s="23" t="str">
        <x:v>Zayo Group</x:v>
      </x:c>
      <x:c r="G24" s="17" t="str">
        <x:v>Nashville</x:v>
      </x:c>
      <x:c r="H24" s="17" t="str">
        <x:v>Nashville</x:v>
      </x:c>
      <x:c r="I24" s="32" t="str">
        <x:v>0.9898</x:v>
      </x:c>
      <x:c r="J24" s="32" t="str">
        <x:v>0.5366</x:v>
      </x:c>
      <x:c r="K24" s="41" t="str">
        <x:v>0.1667</x:v>
      </x:c>
      <x:c r="L24" s="17" t="str">
        <x:v>False</x:v>
      </x:c>
      <x:c r="M24" s="32" t="str">
        <x:v>0.32</x:v>
      </x:c>
      <x:c r="N24" s="23" t="str">
        <x:v>distance_le_1km | partly_similar_name | same_city_or_county</x:v>
      </x:c>
      <x:c r="O24" s="17" t="str">
        <x:v>curated_keep_separate</x:v>
      </x:c>
      <x:c r="P24" s="44" t="str">
        <x:v>XO Molloy Street and Zayo 10th Avenue are separate facilities.</x:v>
      </x:c>
    </x:row>
    <x:row r="25" ht="32" hidden="0" customHeight="1">
      <x:c r="A25" s="38" t="str">
        <x:v>peeringdb:368</x:v>
      </x:c>
      <x:c r="B25" s="23" t="str">
        <x:v>peeringdb:3925</x:v>
      </x:c>
      <x:c r="C25" s="23" t="str">
        <x:v>XO Nashville</x:v>
      </x:c>
      <x:c r="D25" s="23" t="str">
        <x:v>H5 Data Centers Nashville (TN01)</x:v>
      </x:c>
      <x:c r="E25" s="23" t="str">
        <x:v>XO</x:v>
      </x:c>
      <x:c r="F25" s="23" t="str">
        <x:v>H5 Data Centers</x:v>
      </x:c>
      <x:c r="G25" s="17" t="str">
        <x:v>Nashville</x:v>
      </x:c>
      <x:c r="H25" s="17" t="str">
        <x:v>Nashville</x:v>
      </x:c>
      <x:c r="I25" s="32" t="str">
        <x:v>0.5417</x:v>
      </x:c>
      <x:c r="J25" s="32" t="str">
        <x:v>0.4762</x:v>
      </x:c>
      <x:c r="K25" s="41" t="str">
        <x:v>0.0</x:v>
      </x:c>
      <x:c r="L25" s="17" t="str">
        <x:v>False</x:v>
      </x:c>
      <x:c r="M25" s="32" t="str">
        <x:v>0.32</x:v>
      </x:c>
      <x:c r="N25" s="23" t="str">
        <x:v>distance_le_1km | partly_similar_name | same_city_or_county</x:v>
      </x:c>
      <x:c r="O25" s="17" t="str">
        <x:v>curated_keep_separate</x:v>
      </x:c>
      <x:c r="P25" s="44" t="str">
        <x:v>Different operators and street addresses.</x:v>
      </x:c>
    </x:row>
    <x:row r="26" ht="32" hidden="0" customHeight="1">
      <x:c r="A26" s="38" t="str">
        <x:v>peeringdb:368</x:v>
      </x:c>
      <x:c r="B26" s="23" t="str">
        <x:v>peeringdb:561</x:v>
      </x:c>
      <x:c r="C26" s="23" t="str">
        <x:v>XO Nashville</x:v>
      </x:c>
      <x:c r="D26" s="23" t="str">
        <x:v>H5 Data Centers Nashville</x:v>
      </x:c>
      <x:c r="E26" s="23" t="str">
        <x:v>XO</x:v>
      </x:c>
      <x:c r="F26" s="23" t="str">
        <x:v>H5 Data Centers</x:v>
      </x:c>
      <x:c r="G26" s="17" t="str">
        <x:v>Nashville</x:v>
      </x:c>
      <x:c r="H26" s="17" t="str">
        <x:v>Nashville</x:v>
      </x:c>
      <x:c r="I26" s="32" t="str">
        <x:v>0.6951</x:v>
      </x:c>
      <x:c r="J26" s="32" t="str">
        <x:v>0.5405</x:v>
      </x:c>
      <x:c r="K26" s="41" t="str">
        <x:v>0.0</x:v>
      </x:c>
      <x:c r="L26" s="17" t="str">
        <x:v>False</x:v>
      </x:c>
      <x:c r="M26" s="32" t="str">
        <x:v>0.32</x:v>
      </x:c>
      <x:c r="N26" s="23" t="str">
        <x:v>distance_le_1km | partly_similar_name | same_city_or_county</x:v>
      </x:c>
      <x:c r="O26" s="17" t="str">
        <x:v>curated_keep_separate</x:v>
      </x:c>
      <x:c r="P26" s="44" t="str">
        <x:v>Different operators and street addresses.</x:v>
      </x:c>
    </x:row>
    <x:row r="27" ht="32" hidden="0" customHeight="1">
      <x:c r="A27" s="38" t="str">
        <x:v>peeringdb:3925</x:v>
      </x:c>
      <x:c r="B27" s="23" t="str">
        <x:v>fractracker:1772678598263-1520</x:v>
      </x:c>
      <x:c r="C27" s="23" t="str">
        <x:v>H5 Data Centers Nashville (TN01)</x:v>
      </x:c>
      <x:c r="D27" s="23" t="str">
        <x:v>H5 Data Center</x:v>
      </x:c>
      <x:c r="E27" s="23" t="str">
        <x:v>H5 Data Centers</x:v>
      </x:c>
      <x:c r="F27" s="23" t="str"/>
      <x:c r="G27" s="17" t="str">
        <x:v>Nashville</x:v>
      </x:c>
      <x:c r="H27" s="17" t="str">
        <x:v>Nashville</x:v>
      </x:c>
      <x:c r="I27" s="32" t="str">
        <x:v>0.2087</x:v>
      </x:c>
      <x:c r="J27" s="32" t="str">
        <x:v>0.6364</x:v>
      </x:c>
      <x:c r="K27" s="41" t="str">
        <x:v>0.0</x:v>
      </x:c>
      <x:c r="L27" s="17" t="str">
        <x:v>False</x:v>
      </x:c>
      <x:c r="M27" s="32" t="str">
        <x:v>0.42</x:v>
      </x:c>
      <x:c r="N27" s="23" t="str">
        <x:v>distance_le_0.5km | partly_similar_name | same_city_or_county</x:v>
      </x:c>
      <x:c r="O27" s="17" t="str">
        <x:v>curated_keep_separate</x:v>
      </x:c>
      <x:c r="P27" s="44" t="str">
        <x:v>211 Commerce Street and 147 Fourth Avenue are separate physical sites.</x:v>
      </x:c>
    </x:row>
    <x:row r="28" ht="32" hidden="0" customHeight="1">
      <x:c r="A28" s="38" t="str">
        <x:v>peeringdb:5004</x:v>
      </x:c>
      <x:c r="B28" s="23" t="str">
        <x:v>compute_atlas:flexential-nashville-franklin-tn</x:v>
      </x:c>
      <x:c r="C28" s="23" t="str">
        <x:v>Flexential - Nashville/Cool Springs (NAS02/03)</x:v>
      </x:c>
      <x:c r="D28" s="23" t="str">
        <x:v>Flexential Nashville - Franklin</x:v>
      </x:c>
      <x:c r="E28" s="23" t="str">
        <x:v>Flexential Corp.</x:v>
      </x:c>
      <x:c r="F28" s="23" t="str">
        <x:v>Flexential</x:v>
      </x:c>
      <x:c r="G28" s="17" t="str">
        <x:v>Franklin</x:v>
      </x:c>
      <x:c r="H28" s="17" t="str">
        <x:v>Franklin</x:v>
      </x:c>
      <x:c r="I28" s="32" t="str">
        <x:v>3.7648</x:v>
      </x:c>
      <x:c r="J28" s="32" t="str">
        <x:v>0.6761</x:v>
      </x:c>
      <x:c r="K28" s="41" t="str">
        <x:v>1.0</x:v>
      </x:c>
      <x:c r="L28" s="17" t="str">
        <x:v>False</x:v>
      </x:c>
      <x:c r="M28" s="32" t="str">
        <x:v>0.55</x:v>
      </x:c>
      <x:c r="N28" s="23" t="str">
        <x:v>same_operator | similar_name | same_city_or_county</x:v>
      </x:c>
      <x:c r="O28" s="17" t="str">
        <x:v>curated_keep_separate</x:v>
      </x:c>
      <x:c r="P28" s="44" t="str">
        <x:v>Cool Springs and Franklin are separate Flexential facilities.</x:v>
      </x:c>
    </x:row>
    <x:row r="29" ht="32" hidden="0" customHeight="1">
      <x:c r="A29" s="38" t="str">
        <x:v>peeringdb:5004</x:v>
      </x:c>
      <x:c r="B29" s="23" t="str">
        <x:v>peeringdb:5005</x:v>
      </x:c>
      <x:c r="C29" s="23" t="str">
        <x:v>Flexential - Nashville/Cool Springs (NAS02/03)</x:v>
      </x:c>
      <x:c r="D29" s="23" t="str">
        <x:v>Flexential - Nashville/Franklin (NAS05/06)</x:v>
      </x:c>
      <x:c r="E29" s="23" t="str">
        <x:v>Flexential Corp.</x:v>
      </x:c>
      <x:c r="F29" s="23" t="str">
        <x:v>Flexential Corp.</x:v>
      </x:c>
      <x:c r="G29" s="17" t="str">
        <x:v>Franklin</x:v>
      </x:c>
      <x:c r="H29" s="17" t="str">
        <x:v>Franklin</x:v>
      </x:c>
      <x:c r="I29" s="32" t="str">
        <x:v>3.776</x:v>
      </x:c>
      <x:c r="J29" s="32" t="str">
        <x:v>0.775</x:v>
      </x:c>
      <x:c r="K29" s="41" t="str">
        <x:v>1.0</x:v>
      </x:c>
      <x:c r="L29" s="17" t="str">
        <x:v>False</x:v>
      </x:c>
      <x:c r="M29" s="32" t="str">
        <x:v>0.55</x:v>
      </x:c>
      <x:c r="N29" s="23" t="str">
        <x:v>same_operator | similar_name | same_city_or_county</x:v>
      </x:c>
      <x:c r="O29" s="17" t="str">
        <x:v>curated_keep_separate</x:v>
      </x:c>
      <x:c r="P29" s="44" t="str">
        <x:v>PeeringDB lists separate addresses and facility codes.</x:v>
      </x:c>
    </x:row>
    <x:row r="30" ht="32" hidden="0" customHeight="1">
      <x:c r="A30" s="38" t="str">
        <x:v>peeringdb:5005</x:v>
      </x:c>
      <x:c r="B30" s="23" t="str">
        <x:v>compute_atlas:flexential-nashville-cool-springs-tn</x:v>
      </x:c>
      <x:c r="C30" s="23" t="str">
        <x:v>Flexential - Nashville/Franklin (NAS05/06)</x:v>
      </x:c>
      <x:c r="D30" s="23" t="str">
        <x:v>Flexential Nashville - Cool Springs</x:v>
      </x:c>
      <x:c r="E30" s="23" t="str">
        <x:v>Flexential Corp.</x:v>
      </x:c>
      <x:c r="F30" s="23" t="str">
        <x:v>Flexential</x:v>
      </x:c>
      <x:c r="G30" s="17" t="str">
        <x:v>Franklin</x:v>
      </x:c>
      <x:c r="H30" s="17" t="str">
        <x:v>Franklin</x:v>
      </x:c>
      <x:c r="I30" s="32" t="str">
        <x:v>3.7772</x:v>
      </x:c>
      <x:c r="J30" s="32" t="str">
        <x:v>0.7042</x:v>
      </x:c>
      <x:c r="K30" s="41" t="str">
        <x:v>1.0</x:v>
      </x:c>
      <x:c r="L30" s="17" t="str">
        <x:v>False</x:v>
      </x:c>
      <x:c r="M30" s="32" t="str">
        <x:v>0.55</x:v>
      </x:c>
      <x:c r="N30" s="23" t="str">
        <x:v>same_operator | similar_name | same_city_or_county</x:v>
      </x:c>
      <x:c r="O30" s="17" t="str">
        <x:v>curated_keep_separate</x:v>
      </x:c>
      <x:c r="P30" s="44" t="str">
        <x:v>Franklin and Cool Springs are separate Flexential facilities.</x:v>
      </x:c>
    </x:row>
    <x:row r="31" ht="32" hidden="0" customHeight="1">
      <x:c r="A31" s="38" t="str">
        <x:v>peeringdb:561</x:v>
      </x:c>
      <x:c r="B31" s="23" t="str">
        <x:v>peeringdb:2936</x:v>
      </x:c>
      <x:c r="C31" s="23" t="str">
        <x:v>H5 Data Centers Nashville</x:v>
      </x:c>
      <x:c r="D31" s="23" t="str">
        <x:v>Zayo Nashville - 209 10th Ave. S</x:v>
      </x:c>
      <x:c r="E31" s="23" t="str">
        <x:v>H5 Data Centers</x:v>
      </x:c>
      <x:c r="F31" s="23" t="str">
        <x:v>Zayo Group</x:v>
      </x:c>
      <x:c r="G31" s="17" t="str">
        <x:v>Nashville</x:v>
      </x:c>
      <x:c r="H31" s="17" t="str">
        <x:v>Nashville</x:v>
      </x:c>
      <x:c r="I31" s="32" t="str">
        <x:v>0.9</x:v>
      </x:c>
      <x:c r="J31" s="32" t="str">
        <x:v>0.4074</x:v>
      </x:c>
      <x:c r="K31" s="41" t="str">
        <x:v>0.16</x:v>
      </x:c>
      <x:c r="L31" s="17" t="str">
        <x:v>False</x:v>
      </x:c>
      <x:c r="M31" s="32" t="str">
        <x:v>0.32</x:v>
      </x:c>
      <x:c r="N31" s="23" t="str">
        <x:v>distance_le_1km | partly_similar_name | same_city_or_county</x:v>
      </x:c>
      <x:c r="O31" s="17" t="str">
        <x:v>curated_keep_separate</x:v>
      </x:c>
      <x:c r="P31" s="44" t="str">
        <x:v>H5 Fourth Avenue and Zayo 10th Avenue are separate facilities.</x:v>
      </x:c>
    </x:row>
    <x:row r="32" ht="32" hidden="0" customHeight="1">
      <x:c r="A32" s="38" t="str">
        <x:v>peeringdb:561</x:v>
      </x:c>
      <x:c r="B32" s="23" t="str">
        <x:v>peeringdb:3925</x:v>
      </x:c>
      <x:c r="C32" s="23" t="str">
        <x:v>H5 Data Centers Nashville</x:v>
      </x:c>
      <x:c r="D32" s="23" t="str">
        <x:v>H5 Data Centers Nashville (TN01)</x:v>
      </x:c>
      <x:c r="E32" s="23" t="str">
        <x:v>H5 Data Centers</x:v>
      </x:c>
      <x:c r="F32" s="23" t="str">
        <x:v>H5 Data Centers</x:v>
      </x:c>
      <x:c r="G32" s="17" t="str">
        <x:v>Nashville</x:v>
      </x:c>
      <x:c r="H32" s="17" t="str">
        <x:v>Nashville</x:v>
      </x:c>
      <x:c r="I32" s="32" t="str">
        <x:v>0.2117</x:v>
      </x:c>
      <x:c r="J32" s="32" t="str">
        <x:v>0.9091</x:v>
      </x:c>
      <x:c r="K32" s="41" t="str">
        <x:v>1.0</x:v>
      </x:c>
      <x:c r="L32" s="17" t="str">
        <x:v>False</x:v>
      </x:c>
      <x:c r="M32" s="32" t="str">
        <x:v>0.8</x:v>
      </x:c>
      <x:c r="N32" s="23" t="str">
        <x:v>distance_le_0.5km | same_operator | similar_name | same_city_or_county</x:v>
      </x:c>
      <x:c r="O32" s="17" t="str">
        <x:v>curated_keep_separate</x:v>
      </x:c>
      <x:c r="P32" s="44" t="str">
        <x:v>Different street addresses: 147 Fourth Avenue and 211 Commerce Street.</x:v>
      </x:c>
    </x:row>
    <x:row r="33" ht="32" hidden="0" customHeight="1">
      <x:c r="A33" s="38" t="str">
        <x:v>peeringdb:7217</x:v>
      </x:c>
      <x:c r="B33" s="23" t="str">
        <x:v>peeringdb:14177</x:v>
      </x:c>
      <x:c r="C33" s="23" t="str">
        <x:v>DC BLOX CHA1 - DCBLOX Chattanooga</x:v>
      </x:c>
      <x:c r="D33" s="23" t="str">
        <x:v>Peace Communications CHA1</x:v>
      </x:c>
      <x:c r="E33" s="23" t="str">
        <x:v>DC BLOX Parent LLC</x:v>
      </x:c>
      <x:c r="F33" s="23" t="str">
        <x:v>Peace Communications</x:v>
      </x:c>
      <x:c r="G33" s="17" t="str">
        <x:v>Chattanooga</x:v>
      </x:c>
      <x:c r="H33" s="17" t="str">
        <x:v>Chattanooga</x:v>
      </x:c>
      <x:c r="I33" s="32" t="str">
        <x:v>0.7518</x:v>
      </x:c>
      <x:c r="J33" s="32" t="str">
        <x:v>0.2857</x:v>
      </x:c>
      <x:c r="K33" s="41" t="str">
        <x:v>0.2222</x:v>
      </x:c>
      <x:c r="L33" s="17" t="str">
        <x:v>False</x:v>
      </x:c>
      <x:c r="M33" s="32" t="str">
        <x:v>0.2</x:v>
      </x:c>
      <x:c r="N33" s="23" t="str">
        <x:v>distance_le_1km | same_city_or_county</x:v>
      </x:c>
      <x:c r="O33" s="17" t="str">
        <x:v>curated_keep_separate</x:v>
      </x:c>
      <x:c r="P33" s="44" t="str">
        <x:v>DC BLOX and Peace Communications have different operators and addresses.</x:v>
      </x:c>
    </x:row>
    <x:row r="34" ht="32" hidden="0" customHeight="1">
      <x:c r="A34" s="38" t="str">
        <x:v>fractracker:1768853682905-5418</x:v>
      </x:c>
      <x:c r="B34" s="23" t="str">
        <x:v>compute_atlas:jailhouse-studios-chattanooga-tn</x:v>
      </x:c>
      <x:c r="C34" s="23" t="str">
        <x:v>Jailhouse Studios Data Center</x:v>
      </x:c>
      <x:c r="D34" s="23" t="str">
        <x:v>Jailhouse Studios (former Hamilton County Jail)</x:v>
      </x:c>
      <x:c r="E34" s="23" t="str"/>
      <x:c r="F34" s="23" t="str">
        <x:v>Urban Story Ventures</x:v>
      </x:c>
      <x:c r="G34" s="17" t="str">
        <x:v>Chattanooga</x:v>
      </x:c>
      <x:c r="H34" s="17" t="str">
        <x:v>Chattanooga</x:v>
      </x:c>
      <x:c r="I34" s="32" t="str">
        <x:v>0.4469</x:v>
      </x:c>
      <x:c r="J34" s="32" t="str">
        <x:v>0.6486</x:v>
      </x:c>
      <x:c r="K34" s="41" t="str">
        <x:v>0.0</x:v>
      </x:c>
      <x:c r="L34" s="17" t="str">
        <x:v>False</x:v>
      </x:c>
      <x:c r="M34" s="32" t="str">
        <x:v>0.42</x:v>
      </x:c>
      <x:c r="N34" s="23" t="str">
        <x:v>distance_le_0.5km | partly_similar_name | same_city_or_county</x:v>
      </x:c>
      <x:c r="O34" s="17" t="str">
        <x:v>curated_merge</x:v>
      </x:c>
      <x:c r="P34" s="44" t="str">
        <x:v>Same Jailhouse Studios former Hamilton County Jail project in Chattanooga.</x:v>
      </x:c>
    </x:row>
    <x:row r="35" ht="32" hidden="0" customHeight="1">
      <x:c r="A35" s="38" t="str">
        <x:v>fractracker:1780024884691-1880</x:v>
      </x:c>
      <x:c r="B35" s="23" t="str">
        <x:v>compute_atlas:hixson-data-center-mcminnville-tn</x:v>
      </x:c>
      <x:c r="C35" s="23" t="str">
        <x:v>Hixson Data Center</x:v>
      </x:c>
      <x:c r="D35" s="23" t="str">
        <x:v>Hixson Data Center (McMinnville)</x:v>
      </x:c>
      <x:c r="E35" s="23" t="str"/>
      <x:c r="F35" s="23" t="str">
        <x:v>Hixson Data Center</x:v>
      </x:c>
      <x:c r="G35" s="17" t="str">
        <x:v>McMinnville</x:v>
      </x:c>
      <x:c r="H35" s="17" t="str">
        <x:v>McMinnville</x:v>
      </x:c>
      <x:c r="I35" s="32" t="str">
        <x:v>7.3696</x:v>
      </x:c>
      <x:c r="J35" s="32" t="str">
        <x:v>0.75</x:v>
      </x:c>
      <x:c r="K35" s="41" t="str">
        <x:v>0.0</x:v>
      </x:c>
      <x:c r="L35" s="17" t="str">
        <x:v>False</x:v>
      </x:c>
      <x:c r="M35" s="32" t="str">
        <x:v>0.3</x:v>
      </x:c>
      <x:c r="N35" s="23" t="str">
        <x:v>similar_name | same_city_or_county</x:v>
      </x:c>
      <x:c r="O35" s="17" t="str">
        <x:v>curated_merge</x:v>
      </x:c>
      <x:c r="P35" s="44" t="str">
        <x:v>Both records identify the proposed Hixson Data Center in McMinnville; both coordinates are approximate and their spread is retained.</x:v>
      </x:c>
    </x:row>
    <x:row r="36" ht="32" hidden="0" customHeight="1">
      <x:c r="A36" s="38" t="str">
        <x:v>fractracker:1780860040054-4476</x:v>
      </x:c>
      <x:c r="B36" s="23" t="str">
        <x:v>compute_atlas:dcblox-nashville-grassmere-tn</x:v>
      </x:c>
      <x:c r="C36" s="23" t="str">
        <x:v>DC Blox Data Center</x:v>
      </x:c>
      <x:c r="D36" s="23" t="str">
        <x:v>DC BLOX Nashville (Grassmere Park)</x:v>
      </x:c>
      <x:c r="E36" s="23" t="str"/>
      <x:c r="F36" s="23" t="str">
        <x:v>DC BLOX</x:v>
      </x:c>
      <x:c r="G36" s="17" t="str">
        <x:v>Nashville</x:v>
      </x:c>
      <x:c r="H36" s="17" t="str">
        <x:v>Nashville</x:v>
      </x:c>
      <x:c r="I36" s="32" t="str">
        <x:v>0.47</x:v>
      </x:c>
      <x:c r="J36" s="32" t="str">
        <x:v>0.4706</x:v>
      </x:c>
      <x:c r="K36" s="41" t="str">
        <x:v>0.0</x:v>
      </x:c>
      <x:c r="L36" s="17" t="str">
        <x:v>False</x:v>
      </x:c>
      <x:c r="M36" s="32" t="str">
        <x:v>0.42</x:v>
      </x:c>
      <x:c r="N36" s="23" t="str">
        <x:v>distance_le_0.5km | partly_similar_name | same_city_or_county</x:v>
      </x:c>
      <x:c r="O36" s="17" t="str">
        <x:v>curated_merge</x:v>
      </x:c>
      <x:c r="P36" s="44" t="str">
        <x:v>Same DC BLOX Grassmere Park project in Nashville.</x:v>
      </x:c>
    </x:row>
    <x:row r="37" ht="32" hidden="0" customHeight="1">
      <x:c r="A37" s="38" t="str">
        <x:v>fractracker:494</x:v>
      </x:c>
      <x:c r="B37" s="23" t="str">
        <x:v>compute_atlas:google-montgomery-county-tn</x:v>
      </x:c>
      <x:c r="C37" s="23" t="str">
        <x:v>Google Clarksville Data Center</x:v>
      </x:c>
      <x:c r="D37" s="23" t="str">
        <x:v>Google Montgomery County Data Center</x:v>
      </x:c>
      <x:c r="E37" s="23" t="str">
        <x:v>Google</x:v>
      </x:c>
      <x:c r="F37" s="23" t="str">
        <x:v>Google</x:v>
      </x:c>
      <x:c r="G37" s="17" t="str">
        <x:v>Clarksville</x:v>
      </x:c>
      <x:c r="H37" s="17" t="str">
        <x:v>Clarksville</x:v>
      </x:c>
      <x:c r="I37" s="32" t="str">
        <x:v>13.66</x:v>
      </x:c>
      <x:c r="J37" s="32" t="str">
        <x:v>0.6061</x:v>
      </x:c>
      <x:c r="K37" s="41" t="str">
        <x:v>1.0</x:v>
      </x:c>
      <x:c r="L37" s="17" t="str">
        <x:v>False</x:v>
      </x:c>
      <x:c r="M37" s="32" t="str">
        <x:v>0.42</x:v>
      </x:c>
      <x:c r="N37" s="23" t="str">
        <x:v>same_operator | partly_similar_name | same_city_or_county</x:v>
      </x:c>
      <x:c r="O37" s="17" t="str">
        <x:v>curated_merge</x:v>
      </x:c>
      <x:c r="P37" s="44" t="str">
        <x:v>Both records identify Google's Clarksville/Montgomery County data-center project; the FracTracker high-confidence address coordinate is retained.</x:v>
      </x:c>
    </x:row>
    <x:row r="38" ht="32" hidden="0" customHeight="1">
      <x:c r="A38" s="38" t="str">
        <x:v>fractracker:495</x:v>
      </x:c>
      <x:c r="B38" s="23" t="str">
        <x:v>compute_atlas:cielo-clarksville-tn</x:v>
      </x:c>
      <x:c r="C38" s="23" t="str">
        <x:v>Cielo Digital Infrastructure</x:v>
      </x:c>
      <x:c r="D38" s="23" t="str">
        <x:v>Cielo Montgomery County AI Campus</x:v>
      </x:c>
      <x:c r="E38" s="23" t="str"/>
      <x:c r="F38" s="23" t="str">
        <x:v>Cielo Digital Infrastructure</x:v>
      </x:c>
      <x:c r="G38" s="17" t="str">
        <x:v>Clarksville</x:v>
      </x:c>
      <x:c r="H38" s="17" t="str">
        <x:v>Clarksville</x:v>
      </x:c>
      <x:c r="I38" s="32" t="str">
        <x:v>5.0033</x:v>
      </x:c>
      <x:c r="J38" s="32" t="str">
        <x:v>0.2951</x:v>
      </x:c>
      <x:c r="K38" s="41" t="str">
        <x:v>0.0</x:v>
      </x:c>
      <x:c r="L38" s="17" t="str">
        <x:v>False</x:v>
      </x:c>
      <x:c r="M38" s="32" t="str">
        <x:v>0.05</x:v>
      </x:c>
      <x:c r="N38" s="23" t="str">
        <x:v>same_city_or_county</x:v>
      </x:c>
      <x:c r="O38" s="17" t="str">
        <x:v>curated_merge</x:v>
      </x:c>
      <x:c r="P38" s="44" t="str">
        <x:v>Both records identify the Cielo Digital Infrastructure Montgomery County AI campus in Clarksville; coordinate disagreement is retained as a quality flag.</x:v>
      </x:c>
    </x:row>
    <x:row r="39" ht="32" hidden="0" customHeight="1">
      <x:c r="A39" s="38" t="str">
        <x:v>fractracker:496</x:v>
      </x:c>
      <x:c r="B39" s="23" t="str">
        <x:v>compute_atlas:meta-gallatin-tn</x:v>
      </x:c>
      <x:c r="C39" s="23" t="str">
        <x:v>Gallatin Data Center</x:v>
      </x:c>
      <x:c r="D39" s="23" t="str">
        <x:v>Meta Gallatin Data Center Campus</x:v>
      </x:c>
      <x:c r="E39" s="23" t="str">
        <x:v>Meta</x:v>
      </x:c>
      <x:c r="F39" s="23" t="str">
        <x:v>Meta</x:v>
      </x:c>
      <x:c r="G39" s="17" t="str">
        <x:v>Gallatin</x:v>
      </x:c>
      <x:c r="H39" s="17" t="str">
        <x:v>Gallatin</x:v>
      </x:c>
      <x:c r="I39" s="32" t="str">
        <x:v>6.2572</x:v>
      </x:c>
      <x:c r="J39" s="32" t="str">
        <x:v>0.7692</x:v>
      </x:c>
      <x:c r="K39" s="41" t="str">
        <x:v>1.0</x:v>
      </x:c>
      <x:c r="L39" s="17" t="str">
        <x:v>False</x:v>
      </x:c>
      <x:c r="M39" s="32" t="str">
        <x:v>0.55</x:v>
      </x:c>
      <x:c r="N39" s="23" t="str">
        <x:v>same_operator | similar_name | same_city_or_county</x:v>
      </x:c>
      <x:c r="O39" s="17" t="str">
        <x:v>curated_merge</x:v>
      </x:c>
      <x:c r="P39" s="44" t="str">
        <x:v>Both records identify Meta's Gallatin data-center campus; coordinate disagreement is retained as a quality flag.</x:v>
      </x:c>
    </x:row>
    <x:row r="40" ht="32" hidden="0" customHeight="1">
      <x:c r="A40" s="38" t="str">
        <x:v>compute_atlas:hixson-bloom-fuel-cells-mcminnville-tn</x:v>
      </x:c>
      <x:c r="B40" s="23" t="str">
        <x:v>compute_atlas:hixson-bloom-fuel-cells-mcminnville-tn</x:v>
      </x:c>
      <x:c r="C40" s="23" t="str">
        <x:v>Hixson Data Center On-Site Fuel Cell Plant (McMinnville)</x:v>
      </x:c>
      <x:c r="D40" s="23" t="str">
        <x:v>Hixson Data Center On-Site Fuel Cell Plant (McMinnville)</x:v>
      </x:c>
      <x:c r="E40" s="23" t="str">
        <x:v>Hixson Data Center</x:v>
      </x:c>
      <x:c r="F40" s="23" t="str">
        <x:v>Hixson Data Center</x:v>
      </x:c>
      <x:c r="G40" s="17" t="str">
        <x:v>McMinnville</x:v>
      </x:c>
      <x:c r="H40" s="17" t="str">
        <x:v>McMinnville</x:v>
      </x:c>
      <x:c r="I40" s="32" t="str"/>
      <x:c r="J40" s="32" t="str">
        <x:v>0.0</x:v>
      </x:c>
      <x:c r="K40" s="41" t="str">
        <x:v>0.0</x:v>
      </x:c>
      <x:c r="L40" s="17" t="str">
        <x:v>False</x:v>
      </x:c>
      <x:c r="M40" s="32" t="str">
        <x:v>0.0</x:v>
      </x:c>
      <x:c r="N40" s="23" t="str">
        <x:v>facility_type_power_generation</x:v>
      </x:c>
      <x:c r="O40" s="17" t="str">
        <x:v>excluded_support_infrastructure</x:v>
      </x:c>
      <x:c r="P40" s="44" t="str">
        <x:v>Non-data-center support infrastructure retained only in raw aligned data.</x:v>
      </x:c>
    </x:row>
    <x:row r="41" ht="32" hidden="0" customHeight="1">
      <x:c r="A41" s="39" t="str">
        <x:v>compute_atlas:kairos-hermes-2-oak-ridge-tn</x:v>
      </x:c>
      <x:c r="B41" s="24" t="str">
        <x:v>compute_atlas:kairos-hermes-2-oak-ridge-tn</x:v>
      </x:c>
      <x:c r="C41" s="24" t="str">
        <x:v>Kairos Power Hermes 2</x:v>
      </x:c>
      <x:c r="D41" s="24" t="str">
        <x:v>Kairos Power Hermes 2</x:v>
      </x:c>
      <x:c r="E41" s="24" t="str">
        <x:v>Kairos Power</x:v>
      </x:c>
      <x:c r="F41" s="24" t="str">
        <x:v>Kairos Power</x:v>
      </x:c>
      <x:c r="G41" s="20" t="str">
        <x:v>Oak Ridge</x:v>
      </x:c>
      <x:c r="H41" s="20" t="str">
        <x:v>Oak Ridge</x:v>
      </x:c>
      <x:c r="I41" s="33" t="str"/>
      <x:c r="J41" s="33" t="str">
        <x:v>0.0</x:v>
      </x:c>
      <x:c r="K41" s="42" t="str">
        <x:v>0.0</x:v>
      </x:c>
      <x:c r="L41" s="20" t="str">
        <x:v>False</x:v>
      </x:c>
      <x:c r="M41" s="33" t="str">
        <x:v>0.0</x:v>
      </x:c>
      <x:c r="N41" s="24" t="str">
        <x:v>facility_type_power_generation</x:v>
      </x:c>
      <x:c r="O41" s="20" t="str">
        <x:v>excluded_support_infrastructure</x:v>
      </x:c>
      <x:c r="P41" s="45" t="str">
        <x:v>Non-data-center support infrastructure retained only in raw aligned data.</x:v>
      </x:c>
    </x:row>
  </x:sheetData>
  <x:pageMargins left="0.7" right="0.7" top="0.75" bottom="0.75" header="0.3" footer="0.3"/>
  <x:tableParts count="1">
    <x:tablePart xmlns:r="http://schemas.openxmlformats.org/officeDocument/2006/relationships" r:id="R3d0c57e6acce4c9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5" hidden="0" customWidth="1"/>
    <x:col min="4" max="4" width="45" hidden="0" customWidth="1"/>
    <x:col min="5" max="5" width="34" hidden="0" customWidth="1"/>
    <x:col min="6" max="6" width="34" hidden="0" customWidth="1"/>
    <x:col min="7" max="7" width="17" hidden="0" customWidth="1"/>
    <x:col min="8" max="8" width="17" hidden="0" customWidth="1"/>
    <x:col min="9" max="9" width="15" hidden="0" customWidth="1"/>
    <x:col min="10" max="10" width="17" hidden="0" customWidth="1"/>
    <x:col min="11" max="11" width="34" hidden="0" customWidth="1"/>
    <x:col min="12" max="12" width="17" hidden="0" customWidth="1"/>
    <x:col min="13" max="13" width="17" hidden="0" customWidth="1"/>
    <x:col min="14" max="14" width="60" hidden="0" customWidth="1"/>
    <x:col min="15" max="15" width="18" hidden="0" customWidth="1"/>
    <x:col min="16" max="16" width="60" hidden="0" customWidth="1"/>
  </x:cols>
  <x:sheetData>
    <x:row r="1" ht="32" customHeight="1">
      <x:c r="A1" s="9" t="str">
        <x:v>left_record</x:v>
      </x:c>
      <x:c r="B1" s="10" t="str">
        <x:v>right_record</x:v>
      </x:c>
      <x:c r="C1" s="10" t="str">
        <x:v>left_name</x:v>
      </x:c>
      <x:c r="D1" s="10" t="str">
        <x:v>right_name</x:v>
      </x:c>
      <x:c r="E1" s="10" t="str">
        <x:v>left_operator</x:v>
      </x:c>
      <x:c r="F1" s="10" t="str">
        <x:v>right_operator</x:v>
      </x:c>
      <x:c r="G1" s="10" t="str">
        <x:v>left_city</x:v>
      </x:c>
      <x:c r="H1" s="10" t="str">
        <x:v>right_city</x:v>
      </x:c>
      <x:c r="I1" s="10" t="str">
        <x:v>distance_km</x:v>
      </x:c>
      <x:c r="J1" s="10" t="str">
        <x:v>name_similarity</x:v>
      </x:c>
      <x:c r="K1" s="10" t="str">
        <x:v>operator_similarity</x:v>
      </x:c>
      <x:c r="L1" s="10" t="str">
        <x:v>address_exact</x:v>
      </x:c>
      <x:c r="M1" s="10" t="str">
        <x:v>match_score</x:v>
      </x:c>
      <x:c r="N1" s="10" t="str">
        <x:v>evidence</x:v>
      </x:c>
      <x:c r="O1" s="10" t="str">
        <x:v>decision</x:v>
      </x:c>
      <x:c r="P1" s="11" t="str">
        <x:v>rationale</x:v>
      </x:c>
    </x:row>
    <x:row r="2" ht="34" hidden="0" customHeight="1">
      <x:c r="A2" s="37" t="str">
        <x:v>fractracker:499</x:v>
      </x:c>
      <x:c r="B2" s="22" t="str">
        <x:v>compute_atlas:xai-colossus-memphis-tn</x:v>
      </x:c>
      <x:c r="C2" s="22" t="str">
        <x:v>xAI Colossus 1</x:v>
      </x:c>
      <x:c r="D2" s="22" t="str">
        <x:v>Colossus</x:v>
      </x:c>
      <x:c r="E2" s="22" t="str">
        <x:v>xAI</x:v>
      </x:c>
      <x:c r="F2" s="22" t="str">
        <x:v>xAI</x:v>
      </x:c>
      <x:c r="G2" s="14" t="str">
        <x:v>Memphis</x:v>
      </x:c>
      <x:c r="H2" s="14" t="str">
        <x:v>Memphis</x:v>
      </x:c>
      <x:c r="I2" s="31" t="str">
        <x:v>12.8757</x:v>
      </x:c>
      <x:c r="J2" s="31" t="str">
        <x:v>0.7273</x:v>
      </x:c>
      <x:c r="K2" s="40" t="str">
        <x:v>1.0</x:v>
      </x:c>
      <x:c r="L2" s="14" t="str">
        <x:v>False</x:v>
      </x:c>
      <x:c r="M2" s="31" t="str">
        <x:v>0.55</x:v>
      </x:c>
      <x:c r="N2" s="22" t="str">
        <x:v>same_operator | similar_name | same_city_or_county</x:v>
      </x:c>
      <x:c r="O2" s="46" t="str">
        <x:v>manual_review</x:v>
      </x:c>
      <x:c r="P2" s="43" t="str">
        <x:v>xAI confirms a South Memphis Colossus facility but the generic Compute Atlas source lacks a campus identifier. Do not merge it into Colossus 1 or Colossus 2 without source-specific evidence.</x:v>
      </x:c>
    </x:row>
    <x:row r="3" ht="34" hidden="0" customHeight="1">
      <x:c r="A3" s="39" t="str">
        <x:v>fractracker:500</x:v>
      </x:c>
      <x:c r="B3" s="24" t="str">
        <x:v>compute_atlas:xai-colossus-memphis-tn</x:v>
      </x:c>
      <x:c r="C3" s="24" t="str">
        <x:v>xAI Colossus 2</x:v>
      </x:c>
      <x:c r="D3" s="24" t="str">
        <x:v>Colossus</x:v>
      </x:c>
      <x:c r="E3" s="24" t="str">
        <x:v>xAI</x:v>
      </x:c>
      <x:c r="F3" s="24" t="str">
        <x:v>xAI</x:v>
      </x:c>
      <x:c r="G3" s="20" t="str">
        <x:v>Memphis</x:v>
      </x:c>
      <x:c r="H3" s="20" t="str">
        <x:v>Memphis</x:v>
      </x:c>
      <x:c r="I3" s="33" t="str">
        <x:v>6.7538</x:v>
      </x:c>
      <x:c r="J3" s="33" t="str">
        <x:v>0.7273</x:v>
      </x:c>
      <x:c r="K3" s="42" t="str">
        <x:v>1.0</x:v>
      </x:c>
      <x:c r="L3" s="20" t="str">
        <x:v>False</x:v>
      </x:c>
      <x:c r="M3" s="33" t="str">
        <x:v>0.55</x:v>
      </x:c>
      <x:c r="N3" s="24" t="str">
        <x:v>same_operator | similar_name | same_city_or_county</x:v>
      </x:c>
      <x:c r="O3" s="47" t="str">
        <x:v>manual_review</x:v>
      </x:c>
      <x:c r="P3" s="45" t="str">
        <x:v>xAI confirms a South Memphis Colossus facility but the generic Compute Atlas source lacks a campus identifier. Do not merge it into Colossus 1 or Colossus 2 without source-specific evidence.</x:v>
      </x:c>
    </x:row>
  </x:sheetData>
  <x:pageMargins left="0.7" right="0.7" top="0.75" bottom="0.75" header="0.3" footer="0.3"/>
  <x:tableParts count="1">
    <x:tablePart xmlns:r="http://schemas.openxmlformats.org/officeDocument/2006/relationships" r:id="R2d5fb96826674ec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44" hidden="0" customWidth="1"/>
    <x:col min="3" max="3" width="45" hidden="0" customWidth="1"/>
    <x:col min="4" max="4" width="17" hidden="0" customWidth="1"/>
    <x:col min="5" max="5" width="34" hidden="0" customWidth="1"/>
    <x:col min="6" max="6" width="17" hidden="0" customWidth="1"/>
    <x:col min="7" max="7" width="34" hidden="0" customWidth="1"/>
    <x:col min="8" max="8" width="17" hidden="0" customWidth="1"/>
    <x:col min="9" max="9" width="17" hidden="0" customWidth="1"/>
    <x:col min="10" max="10" width="17" hidden="0" customWidth="1"/>
    <x:col min="11" max="11" width="17" hidden="0" customWidth="1"/>
    <x:col min="12" max="12" width="17" hidden="0" customWidth="1"/>
    <x:col min="13" max="13" width="15" hidden="0" customWidth="1"/>
    <x:col min="14" max="14" width="15" hidden="0" customWidth="1"/>
    <x:col min="15" max="15" width="17" hidden="0" customWidth="1"/>
    <x:col min="16" max="16" width="17" hidden="0" customWidth="1"/>
    <x:col min="17" max="17" width="55" hidden="0" customWidth="1"/>
    <x:col min="18" max="18" width="17" hidden="0" customWidth="1"/>
    <x:col min="19" max="19" width="30"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22" hidden="0" customWidth="1"/>
    <x:col min="35" max="35" width="22" hidden="0" customWidth="1"/>
    <x:col min="36" max="36" width="60" hidden="0" customWidth="1"/>
    <x:col min="37" max="37" width="60" hidden="0" customWidth="1"/>
    <x:col min="38" max="38" width="60" hidden="0" customWidth="1"/>
    <x:col min="39" max="39" width="55" hidden="0" customWidth="1"/>
    <x:col min="40" max="40" width="17" hidden="0" customWidth="1"/>
    <x:col min="41" max="41" width="17" hidden="0" customWidth="1"/>
    <x:col min="42" max="42" width="34" hidden="0" customWidth="1"/>
    <x:col min="43" max="43" width="30" hidden="0" customWidth="1"/>
    <x:col min="44" max="44" width="30" hidden="0" customWidth="1"/>
  </x:cols>
  <x:sheetData>
    <x:row r="1" ht="32" customHeight="1">
      <x:c r="A1" s="9" t="str">
        <x:v>source</x:v>
      </x:c>
      <x:c r="B1" s="10" t="str">
        <x:v>source_record_id</x:v>
      </x:c>
      <x:c r="C1" s="10" t="str">
        <x:v>facility_name</x:v>
      </x:c>
      <x:c r="D1" s="10" t="str">
        <x:v>aliases</x:v>
      </x:c>
      <x:c r="E1" s="10" t="str">
        <x:v>operator</x:v>
      </x:c>
      <x:c r="F1" s="10" t="str">
        <x:v>tenant</x:v>
      </x:c>
      <x:c r="G1" s="10" t="str">
        <x:v>address</x:v>
      </x:c>
      <x:c r="H1" s="10" t="str">
        <x:v>address2</x:v>
      </x:c>
      <x:c r="I1" s="10" t="str">
        <x:v>city</x:v>
      </x:c>
      <x:c r="J1" s="10" t="str">
        <x:v>county</x:v>
      </x:c>
      <x:c r="K1" s="10" t="str">
        <x:v>state</x:v>
      </x:c>
      <x:c r="L1" s="10" t="str">
        <x:v>postal_code</x:v>
      </x:c>
      <x:c r="M1" s="10" t="str">
        <x:v>latitude</x:v>
      </x:c>
      <x:c r="N1" s="10" t="str">
        <x:v>longitude</x:v>
      </x:c>
      <x:c r="O1" s="10" t="str">
        <x:v>location_precision</x:v>
      </x:c>
      <x:c r="P1" s="10" t="str">
        <x:v>location_confidence</x:v>
      </x:c>
      <x:c r="Q1" s="10" t="str">
        <x:v>location_determination</x:v>
      </x:c>
      <x:c r="R1" s="10" t="str">
        <x:v>status_raw</x:v>
      </x:c>
      <x:c r="S1" s="10" t="str">
        <x:v>status_normalized</x:v>
      </x:c>
      <x:c r="T1" s="10" t="str">
        <x:v>facility_type</x:v>
      </x:c>
      <x:c r="U1" s="10" t="str">
        <x:v>purpose</x:v>
      </x:c>
      <x:c r="V1" s="10" t="str">
        <x:v>capacity_mw</x:v>
      </x:c>
      <x:c r="W1" s="10" t="str">
        <x:v>capacity_mw_low</x:v>
      </x:c>
      <x:c r="X1" s="10" t="str">
        <x:v>capacity_mw_high</x:v>
      </x:c>
      <x:c r="Y1" s="10" t="str">
        <x:v>square_feet</x:v>
      </x:c>
      <x:c r="Z1" s="10" t="str">
        <x:v>property_acres</x:v>
      </x:c>
      <x:c r="AA1" s="10" t="str">
        <x:v>number_buildings</x:v>
      </x:c>
      <x:c r="AB1" s="10" t="str">
        <x:v>number_generators</x:v>
      </x:c>
      <x:c r="AC1" s="10" t="str">
        <x:v>investment_usd</x:v>
      </x:c>
      <x:c r="AD1" s="10" t="str">
        <x:v>power_source</x:v>
      </x:c>
      <x:c r="AE1" s="10" t="str">
        <x:v>cooling_source</x:v>
      </x:c>
      <x:c r="AF1" s="10" t="str">
        <x:v>cooling_type</x:v>
      </x:c>
      <x:c r="AG1" s="10" t="str">
        <x:v>expected_online</x:v>
      </x:c>
      <x:c r="AH1" s="10" t="str">
        <x:v>created_date</x:v>
      </x:c>
      <x:c r="AI1" s="10" t="str">
        <x:v>updated_date</x:v>
      </x:c>
      <x:c r="AJ1" s="10" t="str">
        <x:v>evidence_urls</x:v>
      </x:c>
      <x:c r="AK1" s="10" t="str">
        <x:v>source_dataset_url</x:v>
      </x:c>
      <x:c r="AL1" s="10" t="str">
        <x:v>source_record_url</x:v>
      </x:c>
      <x:c r="AM1" s="10" t="str">
        <x:v>notes</x:v>
      </x:c>
      <x:c r="AN1" s="10" t="str">
        <x:v>scope_category</x:v>
      </x:c>
      <x:c r="AO1" s="10" t="str">
        <x:v>included_in_master</x:v>
      </x:c>
      <x:c r="AP1" s="10" t="str">
        <x:v>operator_normalized</x:v>
      </x:c>
      <x:c r="AQ1" s="10" t="str">
        <x:v>name_normalized</x:v>
      </x:c>
      <x:c r="AR1" s="11" t="str">
        <x:v>address_normalized</x:v>
      </x:c>
    </x:row>
    <x:row r="2">
      <x:c r="A2" s="13" t="str">
        <x:v>compute_atlas</x:v>
      </x:c>
      <x:c r="B2" s="22" t="str">
        <x:v>hixson-bloom-fuel-cells-mcminnville-tn</x:v>
      </x:c>
      <x:c r="C2" s="22" t="str">
        <x:v>Hixson Data Center On-Site Fuel Cell Plant (McMinnville)</x:v>
      </x:c>
      <x:c r="D2" s="14" t="str"/>
      <x:c r="E2" s="22" t="str">
        <x:v>Hixson Data Center</x:v>
      </x:c>
      <x:c r="F2" s="14" t="str"/>
      <x:c r="G2" s="22" t="str"/>
      <x:c r="H2" s="14" t="str"/>
      <x:c r="I2" s="14" t="str">
        <x:v>McMinnville</x:v>
      </x:c>
      <x:c r="J2" s="25" t="str">
        <x:v>Warren</x:v>
      </x:c>
      <x:c r="K2" s="14" t="str">
        <x:v>TN</x:v>
      </x:c>
      <x:c r="L2" s="14" t="str"/>
      <x:c r="M2" s="28" t="str">
        <x:v>35.6834</x:v>
      </x:c>
      <x:c r="N2" s="28" t="str">
        <x:v>-85.76998</x:v>
      </x:c>
      <x:c r="O2" s="14" t="str">
        <x:v>approximate</x:v>
      </x:c>
      <x:c r="P2" s="14" t="str">
        <x:v>confirmed</x:v>
      </x:c>
      <x:c r="Q2" s="14" t="str"/>
      <x:c r="R2" s="14" t="str">
        <x:v>proposed</x:v>
      </x:c>
      <x:c r="S2" s="14" t="str">
        <x:v>proposed</x:v>
      </x:c>
      <x:c r="T2" s="14" t="str">
        <x:v>power_generation</x:v>
      </x:c>
      <x:c r="U2" s="14" t="str"/>
      <x:c r="V2" s="25" t="str"/>
      <x:c r="W2" s="25" t="str"/>
      <x:c r="X2" s="25" t="str"/>
      <x:c r="Y2" s="25" t="str"/>
      <x:c r="Z2" s="14" t="str"/>
      <x:c r="AA2" s="14" t="str"/>
      <x:c r="AB2" s="14" t="str"/>
      <x:c r="AC2" s="34" t="str"/>
      <x:c r="AD2" s="14" t="str"/>
      <x:c r="AE2" s="14" t="str"/>
      <x:c r="AF2" s="14" t="str"/>
      <x:c r="AG2" s="14" t="str"/>
      <x:c r="AH2" s="14" t="str"/>
      <x:c r="AI2" s="14" t="str">
        <x:v>2026-08-19</x:v>
      </x:c>
      <x:c r="AJ2" s="14" t="str">
        <x:v>https://baxtel.com/news/25mw-ai-data-center-planned-for-mcminnville | https://www.wsmv.com/2026/06/01/amid-plans-new-high-density-ai-data-center-campus-middle-tennessee-city-locals-push-moratorium-such-facilities/ | https://www.wsmv.com/2026/06/03/mcminnville-approves-18-month-moratorium-new-data-centers-creating-requirements-numerous-impact-studies/</x:v>
      </x:c>
      <x:c r="AK2" s="14" t="str">
        <x:v>https://www.compute-atlas.com/api/facilities?state=TN</x:v>
      </x:c>
      <x:c r="AL2" s="22" t="str">
        <x:v>https://www.compute-atlas.com/api/facilities?state=TN</x:v>
      </x:c>
      <x:c r="AM2" s="22" t="str">
        <x:v>[]</x:v>
      </x:c>
      <x:c r="AN2" s="14" t="str">
        <x:v>support_infrastructure</x:v>
      </x:c>
      <x:c r="AO2" s="14" t="str">
        <x:v>False</x:v>
      </x:c>
      <x:c r="AP2" s="22" t="str">
        <x:v>hixson data center</x:v>
      </x:c>
      <x:c r="AQ2" s="14" t="str">
        <x:v>hixson data center on site fuel cell plant mcminnville</x:v>
      </x:c>
      <x:c r="AR2" s="15" t="str"/>
    </x:row>
    <x:row r="3">
      <x:c r="A3" s="19" t="str">
        <x:v>compute_atlas</x:v>
      </x:c>
      <x:c r="B3" s="24" t="str">
        <x:v>kairos-hermes-2-oak-ridge-tn</x:v>
      </x:c>
      <x:c r="C3" s="24" t="str">
        <x:v>Kairos Power Hermes 2</x:v>
      </x:c>
      <x:c r="D3" s="20" t="str"/>
      <x:c r="E3" s="24" t="str">
        <x:v>Kairos Power</x:v>
      </x:c>
      <x:c r="F3" s="20" t="str"/>
      <x:c r="G3" s="24" t="str"/>
      <x:c r="H3" s="20" t="str"/>
      <x:c r="I3" s="20" t="str">
        <x:v>Oak Ridge</x:v>
      </x:c>
      <x:c r="J3" s="27" t="str">
        <x:v>Roane</x:v>
      </x:c>
      <x:c r="K3" s="20" t="str">
        <x:v>TN</x:v>
      </x:c>
      <x:c r="L3" s="20" t="str"/>
      <x:c r="M3" s="30" t="str">
        <x:v>35.92</x:v>
      </x:c>
      <x:c r="N3" s="30" t="str">
        <x:v>-84.39</x:v>
      </x:c>
      <x:c r="O3" s="20" t="str">
        <x:v>approximate</x:v>
      </x:c>
      <x:c r="P3" s="20" t="str">
        <x:v>confirmed</x:v>
      </x:c>
      <x:c r="Q3" s="20" t="str"/>
      <x:c r="R3" s="20" t="str">
        <x:v>under_construction</x:v>
      </x:c>
      <x:c r="S3" s="20" t="str">
        <x:v>under_construction</x:v>
      </x:c>
      <x:c r="T3" s="20" t="str">
        <x:v>power_generation</x:v>
      </x:c>
      <x:c r="U3" s="20" t="str"/>
      <x:c r="V3" s="27" t="str"/>
      <x:c r="W3" s="27" t="str"/>
      <x:c r="X3" s="27" t="str"/>
      <x:c r="Y3" s="27" t="str"/>
      <x:c r="Z3" s="20" t="str"/>
      <x:c r="AA3" s="20" t="str"/>
      <x:c r="AB3" s="20" t="str"/>
      <x:c r="AC3" s="36" t="str"/>
      <x:c r="AD3" s="20" t="str"/>
      <x:c r="AE3" s="20" t="str"/>
      <x:c r="AF3" s="20" t="str"/>
      <x:c r="AG3" s="20" t="str"/>
      <x:c r="AH3" s="20" t="str"/>
      <x:c r="AI3" s="20" t="str">
        <x:v>2026-07-11</x:v>
      </x:c>
      <x:c r="AJ3" s="20" t="str">
        <x:v>https://blog.google/company-news/outreach-and-initiatives/sustainability/google-kairos-power-nuclear-energy-agreement/ | https://www.ans.org/news/2026-04-21/article-7964/kairos-power-breaks-ground-on-first-powerproducing-reactor-in-oak-ridge/ | https://www.federalregister.gov/documents/2023/11/22/2023-25818/kairos-power-llc-hermes-2 | https://www.federalregister.gov/documents/2024/04/26/2024-08964/kairos-power-llc-hermes-2-draft-environmental-assessment-and-draft-finding-of-no-significant-impact | https://www.federalregister.gov/documents/2024/09/05/2024-19914/kairos-power-llc-hermes-2-environmental-assessment-finding-of-no-significant-impact-and-exemptions | https://www.federalregister.gov/documents/2024/11/29/2024-28025/kairos-power-llc-hermes-2-test-reactor-facility-construction-permits | https://www.kairospower.com/updates/google-and-kairos-power-partner-to-deploy-500-mw-of-clean-electricity-generation | https://www.kairospower.com/updates/kairos-power-breaks-ground-on-hermes-2-demonstration-plant | https://www.nrc.gov/reactors/non-power/new-facility-licensing/hermes2-kairos | https://www.world-nuclear-news.org/articles/google-kairos-power-tva-announce-collaboration</x:v>
      </x:c>
      <x:c r="AK3" s="20" t="str">
        <x:v>https://www.compute-atlas.com/api/facilities?state=TN</x:v>
      </x:c>
      <x:c r="AL3" s="24" t="str">
        <x:v>https://www.compute-atlas.com/api/facilities?state=TN</x:v>
      </x:c>
      <x:c r="AM3" s="24" t="str">
        <x:v>[{"date": "2024-11-21", "note": "NRC issues Hermes 2 construction permit (first Gen IV power-reactor construction permit; Docket Nos. 50-611 and 50-612)", "status": "permitted", "sourceIndex": 1}, {"date": "2026-04-17", "note": "Kairos Power breaks ground on Hermes 2 at the Heritage Center/K-33 site", "status": "under_construction", "sourceIndex": 5}]</x:v>
      </x:c>
      <x:c r="AN3" s="20" t="str">
        <x:v>support_infrastructure</x:v>
      </x:c>
      <x:c r="AO3" s="20" t="str">
        <x:v>False</x:v>
      </x:c>
      <x:c r="AP3" s="24" t="str">
        <x:v>kairos power</x:v>
      </x:c>
      <x:c r="AQ3" s="20" t="str">
        <x:v>kairos power hermes 2</x:v>
      </x:c>
      <x:c r="AR3" s="21" t="str"/>
    </x:row>
  </x:sheetData>
  <x:pageMargins left="0.7" right="0.7" top="0.75" bottom="0.75" header="0.3" footer="0.3"/>
  <x:tableParts count="1">
    <x:tablePart xmlns:r="http://schemas.openxmlformats.org/officeDocument/2006/relationships" r:id="Rfaa8b44e27e5461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38" hidden="0" customWidth="1"/>
    <x:col min="3" max="3" width="38" hidden="0" customWidth="1"/>
    <x:col min="4" max="4" width="38" hidden="0" customWidth="1"/>
    <x:col min="5" max="5" width="72" hidden="0" customWidth="1"/>
  </x:cols>
  <x:sheetData>
    <x:row r="1" ht="32" customHeight="1">
      <x:c r="A1" s="9" t="str">
        <x:v>canonical_field</x:v>
      </x:c>
      <x:c r="B1" s="10" t="str">
        <x:v>peeringdb</x:v>
      </x:c>
      <x:c r="C1" s="10" t="str">
        <x:v>fractracker</x:v>
      </x:c>
      <x:c r="D1" s="10" t="str">
        <x:v>compute_atlas</x:v>
      </x:c>
      <x:c r="E1" s="11" t="str">
        <x:v>notes</x:v>
      </x:c>
    </x:row>
    <x:row r="2" ht="15" hidden="0" customHeight="1">
      <x:c r="A2" s="13" t="str">
        <x:v>facility_name</x:v>
      </x:c>
      <x:c r="B2" s="14" t="str">
        <x:v>name</x:v>
      </x:c>
      <x:c r="C2" s="14" t="str">
        <x:v>attributes.facility_name</x:v>
      </x:c>
      <x:c r="D2" s="14" t="str">
        <x:v>name</x:v>
      </x:c>
      <x:c r="E2" s="43" t="str">
        <x:v>Display name from each source.</x:v>
      </x:c>
    </x:row>
    <x:row r="3" ht="15" hidden="0" customHeight="1">
      <x:c r="A3" s="16" t="str">
        <x:v>operator</x:v>
      </x:c>
      <x:c r="B3" s="17" t="str">
        <x:v>org_name</x:v>
      </x:c>
      <x:c r="C3" s="17" t="str">
        <x:v>attributes.operator_name</x:v>
      </x:c>
      <x:c r="D3" s="17" t="str">
        <x:v>operator</x:v>
      </x:c>
      <x:c r="E3" s="44" t="str">
        <x:v>Blank values are preserved; no operator is invented.</x:v>
      </x:c>
    </x:row>
    <x:row r="4" ht="15" hidden="0" customHeight="1">
      <x:c r="A4" s="16" t="str">
        <x:v>address</x:v>
      </x:c>
      <x:c r="B4" s="17" t="str">
        <x:v>address1</x:v>
      </x:c>
      <x:c r="C4" s="17" t="str">
        <x:v>attributes.address</x:v>
      </x:c>
      <x:c r="D4" s="17" t="str">
        <x:v>location.street (when present)</x:v>
      </x:c>
      <x:c r="E4" s="44" t="str">
        <x:v>Suite/unit text is retained in the display field.</x:v>
      </x:c>
    </x:row>
    <x:row r="5" ht="15" hidden="0" customHeight="1">
      <x:c r="A5" s="16" t="str">
        <x:v>latitude / longitude</x:v>
      </x:c>
      <x:c r="B5" s="17" t="str">
        <x:v>latitude / longitude</x:v>
      </x:c>
      <x:c r="C5" s="17" t="str">
        <x:v>attributes.lat / long; geometry fallback</x:v>
      </x:c>
      <x:c r="D5" s="17" t="str">
        <x:v>location.lat / lon</x:v>
      </x:c>
      <x:c r="E5" s="44" t="str">
        <x:v>WGS84 decimal degrees.</x:v>
      </x:c>
    </x:row>
    <x:row r="6" ht="15" hidden="0" customHeight="1">
      <x:c r="A6" s="16" t="str">
        <x:v>location_precision</x:v>
      </x:c>
      <x:c r="B6" s="17" t="str">
        <x:v>derived: address_or_site</x:v>
      </x:c>
      <x:c r="C6" s="17" t="str">
        <x:v>derived from location_confidence</x:v>
      </x:c>
      <x:c r="D6" s="17" t="str">
        <x:v>location.precision</x:v>
      </x:c>
      <x:c r="E6" s="44" t="str">
        <x:v>Source-specific precision is not treated as a common accuracy guarantee.</x:v>
      </x:c>
    </x:row>
    <x:row r="7" ht="26.399999618530273" hidden="0" customHeight="1">
      <x:c r="A7" s="16" t="str">
        <x:v>status_normalized</x:v>
      </x:c>
      <x:c r="B7" s="17" t="str">
        <x:v>status plus decommissioned/closed note override</x:v>
      </x:c>
      <x:c r="C7" s="17" t="str">
        <x:v>attributes.status</x:v>
      </x:c>
      <x:c r="D7" s="17" t="str">
        <x:v>status</x:v>
      </x:c>
      <x:c r="E7" s="44" t="str">
        <x:v>Mapped to operational, expanding, under_construction, proposed, cancelled, suspended, or decommissioned.</x:v>
      </x:c>
    </x:row>
    <x:row r="8" ht="15" hidden="0" customHeight="1">
      <x:c r="A8" s="16" t="str">
        <x:v>facility_type</x:v>
      </x:c>
      <x:c r="B8" s="17" t="str">
        <x:v>derived: interconnection_facility</x:v>
      </x:c>
      <x:c r="C8" s="17" t="str">
        <x:v>derived: data_center</x:v>
      </x:c>
      <x:c r="D8" s="17" t="str">
        <x:v>facilityType</x:v>
      </x:c>
      <x:c r="E8" s="44" t="str">
        <x:v>Power-generation records remain in audit data but are excluded from the facility master.</x:v>
      </x:c>
    </x:row>
    <x:row r="9" ht="15" hidden="0" customHeight="1">
      <x:c r="A9" s="16" t="str">
        <x:v>capacity_mw</x:v>
      </x:c>
      <x:c r="B9" s="17" t="str"/>
      <x:c r="C9" s="17" t="str">
        <x:v>attributes.mw</x:v>
      </x:c>
      <x:c r="D9" s="17" t="str"/>
      <x:c r="E9" s="44" t="str">
        <x:v>Blank when not published.</x:v>
      </x:c>
    </x:row>
    <x:row r="10" ht="15" hidden="0" customHeight="1">
      <x:c r="A10" s="19" t="str">
        <x:v>evidence_urls</x:v>
      </x:c>
      <x:c r="B10" s="20" t="str">
        <x:v>website</x:v>
      </x:c>
      <x:c r="C10" s="20" t="str">
        <x:v>information_source and info_source_1..8</x:v>
      </x:c>
      <x:c r="D10" s="20" t="str">
        <x:v>sources[].url</x:v>
      </x:c>
      <x:c r="E10" s="45" t="str">
        <x:v>Pipe-separated URLs for row-level provenance.</x:v>
      </x:c>
    </x:row>
  </x:sheetData>
  <x:pageMargins left="0.7" right="0.7" top="0.75" bottom="0.75" header="0.3" footer="0.3"/>
  <x:tableParts count="1">
    <x:tablePart xmlns:r="http://schemas.openxmlformats.org/officeDocument/2006/relationships" r:id="R86bb6349a0ac436e"/>
  </x:tableParts>
</x:worksheet>
</file>

<file path=xl/worksheets/sheet9.xml><?xml version="1.0" encoding="utf-8"?>
<x:worksheet xmlns:x="http://schemas.openxmlformats.org/spreadsheetml/2006/main">
  <x:sheetFormatPr defaultRowHeight="15"/>
  <x:cols>
    <x:col min="1" max="1" width="14" hidden="0" customWidth="1"/>
    <x:col min="2" max="2" width="16" hidden="0" customWidth="1"/>
    <x:col min="3" max="3" width="38" hidden="0" customWidth="1"/>
    <x:col min="4" max="4" width="30" hidden="0" customWidth="1"/>
    <x:col min="5" max="5" width="18" hidden="0" customWidth="1"/>
    <x:col min="6" max="6" width="28" hidden="0" customWidth="1"/>
    <x:col min="7" max="7" width="16" hidden="0" customWidth="1"/>
    <x:col min="8" max="8" width="16" hidden="0" customWidth="1"/>
    <x:col min="9" max="9" width="8" hidden="0" customWidth="1"/>
    <x:col min="10" max="10" width="12" hidden="0" customWidth="1"/>
    <x:col min="11" max="11" width="13" hidden="0" customWidth="1"/>
    <x:col min="12" max="12" width="13" hidden="0" customWidth="1"/>
    <x:col min="13" max="13" width="50" hidden="0" customWidth="1"/>
    <x:col min="14" max="14" width="28" hidden="0" customWidth="1"/>
    <x:col min="15" max="15" width="60" hidden="0" customWidth="1"/>
    <x:col min="16" max="16" width="14" hidden="0" customWidth="1"/>
    <x:col min="17" max="17" width="52" hidden="0" customWidth="1"/>
    <x:col min="18" max="18" width="18" hidden="0" customWidth="1"/>
    <x:col min="19" max="19" width="18" hidden="0" customWidth="1"/>
    <x:col min="20" max="20" width="38" hidden="0" customWidth="1"/>
  </x:cols>
  <x:sheetData>
    <x:row r="1">
      <x:c r="A1" s="84" t="str">
        <x:v>candidate_id</x:v>
      </x:c>
      <x:c r="B1" s="84" t="str">
        <x:v>master_facility_id</x:v>
      </x:c>
      <x:c r="C1" s="84" t="str">
        <x:v>candidate_site_name</x:v>
      </x:c>
      <x:c r="D1" s="84" t="str">
        <x:v>candidate_type</x:v>
      </x:c>
      <x:c r="E1" s="84" t="str">
        <x:v>candidate_confidence</x:v>
      </x:c>
      <x:c r="F1" s="84" t="str">
        <x:v>address</x:v>
      </x:c>
      <x:c r="G1" s="84" t="str">
        <x:v>city</x:v>
      </x:c>
      <x:c r="H1" s="84" t="str">
        <x:v>county</x:v>
      </x:c>
      <x:c r="I1" s="84" t="str">
        <x:v>state</x:v>
      </x:c>
      <x:c r="J1" s="84" t="str">
        <x:v>postal_code</x:v>
      </x:c>
      <x:c r="K1" s="84" t="str">
        <x:v>latitude</x:v>
      </x:c>
      <x:c r="L1" s="84" t="str">
        <x:v>longitude</x:v>
      </x:c>
      <x:c r="M1" s="84" t="str">
        <x:v>evidence_basis</x:v>
      </x:c>
      <x:c r="N1" s="84" t="str">
        <x:v>source</x:v>
      </x:c>
      <x:c r="O1" s="84" t="str">
        <x:v>evidence_urls</x:v>
      </x:c>
      <x:c r="P1" s="84" t="str">
        <x:v>last_verified</x:v>
      </x:c>
      <x:c r="Q1" s="84" t="str">
        <x:v>review_note</x:v>
      </x:c>
      <x:c r="R1" s="121" t="str">
        <x:v>location_precision</x:v>
      </x:c>
      <x:c r="S1" s="121" t="str">
        <x:v>location_confidence</x:v>
      </x:c>
      <x:c r="T1" s="121" t="str">
        <x:v>coordinate_source</x:v>
      </x:c>
    </x:row>
    <x:row r="2">
      <x:c r="A2" s="85" t="str">
        <x:v>TNCAND-002</x:v>
      </x:c>
      <x:c r="B2" s="85"/>
      <x:c r="C2" s="85" t="str">
        <x:v>Horizon Center TVA Certified Data Center Site</x:v>
      </x:c>
      <x:c r="D2" s="85" t="str">
        <x:v>certified_data_center_site</x:v>
      </x:c>
      <x:c r="E2" s="85" t="str">
        <x:v>high</x:v>
      </x:c>
      <x:c r="F2" s="85" t="str">
        <x:v>Renovare Rd / Horizon Center Development Area 5</x:v>
      </x:c>
      <x:c r="G2" s="85" t="str">
        <x:v>Oak Ridge</x:v>
      </x:c>
      <x:c r="H2" s="85" t="str">
        <x:v>Roane</x:v>
      </x:c>
      <x:c r="I2" s="85" t="str">
        <x:v>TN</x:v>
      </x:c>
      <x:c r="J2" s="85" t="str">
        <x:v>37830</x:v>
      </x:c>
      <x:c r="K2" s="117" t="n">
        <x:v>35.968063</x:v>
      </x:c>
      <x:c r="L2" s="117" t="n">
        <x:v>-84.35597</x:v>
      </x:c>
      <x:c r="M2" s="85" t="str">
        <x:v>Official Oak Ridge sources confirm Horizon Center contains a TVA Certified Data Center Site; current parcel records identify Development Area 5 as Parcel 021-002.04 (~96.5 acres) off Renovare Boulevard. A defensible point coordinate for the historical 28-acre data-center designation has not yet been established.</x:v>
      </x:c>
      <x:c r="N2" s="85" t="str">
        <x:v>oak_ridge_edi | oak_ridge_city | loopnet</x:v>
      </x:c>
      <x:c r="O2" s="85" t="str">
        <x:v>https://www.oakridgeedi.org/find-your-site/horizon-center | https://www.oakridgeedi.org/uploads/Horizon%20Center%20Development%20Map-%20Aug%202023.pdf | https://www.loopnet.com/property/renovare-rd-oak-ridge-tn-37830/47145-021%20%20%20%2000204%20000/ | https://usace.contentdm.oclc.org/digital/api/collection/p16021coll15/id/4976/download</x:v>
      </x:c>
      <x:c r="P2" s="123" t="str">
        <x:v>2026-09-04</x:v>
      </x:c>
      <x:c r="Q2" s="85" t="str">
        <x:v>USACE review area north of the Imperium Dr / Renovare Blvd intersection provides a site-area coordinate. This is not asserted as a parcel-centroid or exact facility point.</x:v>
      </x:c>
      <x:c r="R2" s="85" t="str">
        <x:v>approximate_site</x:v>
      </x:c>
      <x:c r="S2" s="85" t="str">
        <x:v>medium</x:v>
      </x:c>
      <x:c r="T2" s="85" t="str">
        <x:v>Horizon Center Development Area 5 / Parcel 021-002.04; representative coordinate not yet defensible</x:v>
      </x:c>
    </x:row>
    <x:row r="3">
      <x:c r="A3" s="85" t="str">
        <x:v>TNCAND-003</x:v>
      </x:c>
      <x:c r="B3" s="85"/>
      <x:c r="C3" s="85" t="str">
        <x:v>Corridor Park Lots 21 &amp; 23 TVA Certified Data Center Site</x:v>
      </x:c>
      <x:c r="D3" s="85" t="str">
        <x:v>certified_data_center_site</x:v>
      </x:c>
      <x:c r="E3" s="85" t="str">
        <x:v>high</x:v>
      </x:c>
      <x:c r="F3" s="85" t="str">
        <x:v>Corridor Park Blvd</x:v>
      </x:c>
      <x:c r="G3" s="85" t="str">
        <x:v>Knoxville</x:v>
      </x:c>
      <x:c r="H3" s="85" t="str">
        <x:v>Knox</x:v>
      </x:c>
      <x:c r="I3" s="85" t="str">
        <x:v>TN</x:v>
      </x:c>
      <x:c r="J3" s="85" t="str">
        <x:v>37932</x:v>
      </x:c>
      <x:c r="K3" s="117" t="n">
        <x:v>35.92338</x:v>
      </x:c>
      <x:c r="L3" s="117" t="n">
        <x:v>-84.14133</x:v>
      </x:c>
      <x:c r="M3" s="85" t="str">
        <x:v>MyEListing identifies contiguous Lots 21 and 23 (10.26 acres) as a TVA-certified data-center site; the listing's mapped/Street View location provides 35.92338, -84.14133.</x:v>
      </x:c>
      <x:c r="N3" s="85" t="str">
        <x:v>myelisting | knoxnews</x:v>
      </x:c>
      <x:c r="O3" s="85" t="str">
        <x:v>https://myelisting.com/listing/248269/corridor-park-blvd-knoxville-tn-37932/ | https://archive.knoxnews.com/business/356013471.html/</x:v>
      </x:c>
      <x:c r="P3" s="123" t="str">
        <x:v>2026-09-03</x:v>
      </x:c>
      <x:c r="Q3" s="85" t="str">
        <x:v>Certified site opportunity, not a built data center. Coordinate is listing/site level.</x:v>
      </x:c>
      <x:c r="R3" s="85" t="str">
        <x:v>address_or_site</x:v>
      </x:c>
      <x:c r="S3" s="85" t="str">
        <x:v>high</x:v>
      </x:c>
      <x:c r="T3" s="85" t="str">
        <x:v>MyEListing Street View/listing coordinate</x:v>
      </x:c>
    </x:row>
    <x:row r="4">
      <x:c r="A4" s="85" t="str">
        <x:v>TNCAND-004</x:v>
      </x:c>
      <x:c r="B4" s="85"/>
      <x:c r="C4" s="85" t="str">
        <x:v>Tiger Jones Technology Park Enterprise Data Center Site</x:v>
      </x:c>
      <x:c r="D4" s="85" t="str">
        <x:v>certified_primary_data_center_site</x:v>
      </x:c>
      <x:c r="E4" s="85" t="str">
        <x:v>high</x:v>
      </x:c>
      <x:c r="F4" s="85" t="str">
        <x:v>3300 Ridgecrest Road</x:v>
      </x:c>
      <x:c r="G4" s="85" t="str">
        <x:v>Jackson</x:v>
      </x:c>
      <x:c r="H4" s="85" t="str">
        <x:v>Madison</x:v>
      </x:c>
      <x:c r="I4" s="85" t="str">
        <x:v>TN</x:v>
      </x:c>
      <x:c r="J4" s="85" t="str">
        <x:v>38305</x:v>
      </x:c>
      <x:c r="K4" s="117" t="n">
        <x:v>35.671471</x:v>
      </x:c>
      <x:c r="L4" s="117" t="n">
        <x:v>-88.764892</x:v>
      </x:c>
      <x:c r="M4" s="85" t="str">
        <x:v>WTIA site materials identify the 120.6-acre Tiger Jones Technology Park Primary/Enterprise Data Center Site and provide the site coordinates 35.671471, -88.764892.</x:v>
      </x:c>
      <x:c r="N4" s="85" t="str">
        <x:v>wtia | utm_economic_development</x:v>
      </x:c>
      <x:c r="O4" s="85" t="str">
        <x:v>https://www.wtia.org/sites/id/40 | https://www.wtia.org/images/uploads/content_files/tiger-jones-tech-park.pdf | https://www.utm.edu/offices-and-services/office-of-economic-development/_media/Madison%20County%20Opportunity%20Zone%20Prospectus.pdf</x:v>
      </x:c>
      <x:c r="P4" s="123" t="str">
        <x:v>2026-09-03</x:v>
      </x:c>
      <x:c r="Q4" s="85" t="str">
        <x:v>Certified site opportunity; not a built data center. Coordinate comes from WTIA site specification.</x:v>
      </x:c>
      <x:c r="R4" s="85" t="str">
        <x:v>address_or_site</x:v>
      </x:c>
      <x:c r="S4" s="85" t="str">
        <x:v>high</x:v>
      </x:c>
      <x:c r="T4" s="85" t="str">
        <x:v>WTIA Tiger Jones Technology Park site specification</x:v>
      </x:c>
    </x:row>
    <x:row r="5">
      <x:c r="A5" s="85" t="str">
        <x:v>TNCAND-005</x:v>
      </x:c>
      <x:c r="B5" s="85"/>
      <x:c r="C5" s="85" t="str">
        <x:v>GRIID Jackson 60 MW Bitcoin Mining Project</x:v>
      </x:c>
      <x:c r="D5" s="85" t="str">
        <x:v>announced_crypto_mining_site</x:v>
      </x:c>
      <x:c r="E5" s="85" t="str">
        <x:v>medium</x:v>
      </x:c>
      <x:c r="F5" s="85" t="str">
        <x:v>2342 North Parkway East</x:v>
      </x:c>
      <x:c r="G5" s="85" t="str">
        <x:v>Jackson</x:v>
      </x:c>
      <x:c r="H5" s="85" t="str">
        <x:v>Madison</x:v>
      </x:c>
      <x:c r="I5" s="85" t="str">
        <x:v>TN</x:v>
      </x:c>
      <x:c r="J5" s="85"/>
      <x:c r="K5" s="117"/>
      <x:c r="L5" s="117"/>
      <x:c r="M5" s="85" t="str">
        <x:v>GRIID announced a 60 MW, 15-acre Jackson facility; CleanSpark later acquired GRIID, but a current site-level construction or operating confirmation was not found.</x:v>
      </x:c>
      <x:c r="N5" s="85" t="str">
        <x:v>globenewswire.com | prnewswire.com | sec.gov</x:v>
      </x:c>
      <x:c r="O5" s="85" t="str">
        <x:v>https://www.globenewswire.com/news-release/2024/02/06/2824158/0/en/GRIID-Infrastructure-to-Add-60-MW-with-New-Bitcoin-Mining-Facility-in-Tennessee.html | https://www.prnewswire.com/news-releases/cleanspark-announces-agreement-to-acquire-griid-infrastructure-based-on-an-enterprise-value-of-155-million-and-expansion-plans-of-over-400-mw-in-tennessee-302184116.html | https://www.sec.gov/Archives/edgar/data/1830029/000119312524223759/d888816ddefm14a.htm | https://baxtel.com/data-center/cleanspark-jackson-tn | https://tpucdockets.tn.gov/archive/filings/2003/0300438ar.pdf | https://www.sec.gov/Archives/edgar/data/1830029/000119312524000728/d941597dex211.htm</x:v>
      </x:c>
      <x:c r="P5" s="123" t="str">
        <x:v>2026-09-07</x:v>
      </x:c>
      <x:c r="Q5" s="85" t="str">
        <x:v>Public evidence supports prior GRIID/CleanSpark Jackson development and property ownership, but does not independently confirm the stated 60 MW facility is currently operating or energized. Retained as an unpromoted candidate.</x:v>
      </x:c>
      <x:c r="R5" s="85" t="str">
        <x:v>address_or_site</x:v>
      </x:c>
      <x:c r="S5" s="85" t="str">
        <x:v>high</x:v>
      </x:c>
      <x:c r="T5" s="85"/>
    </x:row>
    <x:row r="6">
      <x:c r="A6" t="str">
        <x:v>TNCAND-006</x:v>
      </x:c>
      <x:c r="B6"/>
      <x:c r="C6" t="str">
        <x:v>Atmosphere Nashville 120 MW Campus</x:v>
      </x:c>
      <x:c r="D6" t="str">
        <x:v>proposed_data_center_campus</x:v>
      </x:c>
      <x:c r="E6" t="str">
        <x:v>medium</x:v>
      </x:c>
      <x:c r="F6"/>
      <x:c r="G6" t="str">
        <x:v>Nashville</x:v>
      </x:c>
      <x:c r="H6"/>
      <x:c r="I6" t="str">
        <x:v>TN</x:v>
      </x:c>
      <x:c r="J6"/>
      <x:c r="K6" t="str"/>
      <x:c r="L6" t="str"/>
      <x:c r="M6" s="85" t="str">
        <x:v>Developer materials describe a 120 MW, 38-acre Nashville campus in development, but the exact site and county are not public.</x:v>
      </x:c>
      <x:c r="N6" s="85" t="str">
        <x:v>atmosphere-dc.com | datacenterdynamics.com</x:v>
      </x:c>
      <x:c r="O6" s="85" t="str">
        <x:v>https://atmosphere-dc.com/data-centers/nashville-tn/ | https://www.datacenterdynamics.com/en/news/atmosphere-dc-secures-investment-from-agc-equity-partners/ | https://baxtel.com/data-center/h5-data-centers-nashville-tn01 | https://baxtel.com/data-center/h5-data-centers-nashville-tn02 | https://baxtel.com/data-center/edgeconnex-nashville | https://baxtel.com/data-center/dc-blox-nashville | https://baxtel.com/data-center/lumen-nashville-2</x:v>
      </x:c>
      <x:c r="P6" s="123" t="str">
        <x:v>2026-09-07</x:v>
      </x:c>
      <x:c r="Q6" s="85" t="str">
        <x:v>Atmosphere publicly discloses Nashville, 120 MW, and a 38-acre campus but no street address, county, or parcel. The previous directory-derived market pin is removed because it is physically inconsistent with a 38-acre campus. Retain as a market-level candidate only.</x:v>
      </x:c>
      <x:c r="R6" s="85" t="str">
        <x:v>area_or_city</x:v>
      </x:c>
      <x:c r="S6" s="85" t="str">
        <x:v>low</x:v>
      </x:c>
      <x:c r="T6" s="85" t="str"/>
    </x:row>
    <x:row r="7">
      <x:c r="A7" t="str">
        <x:v>TNCAND-007</x:v>
      </x:c>
      <x:c r="B7"/>
      <x:c r="C7" t="str">
        <x:v>Tennessee State Data Center South</x:v>
      </x:c>
      <x:c r="D7" t="str">
        <x:v>operational_government_data_center</x:v>
      </x:c>
      <x:c r="E7" t="str">
        <x:v>high</x:v>
      </x:c>
      <x:c r="F7" t="str">
        <x:v>92 Weakley Ln</x:v>
      </x:c>
      <x:c r="G7" t="str">
        <x:v>Smyrna</x:v>
      </x:c>
      <x:c r="H7" t="str">
        <x:v>Rutherford</x:v>
      </x:c>
      <x:c r="I7" t="str">
        <x:v>TN</x:v>
      </x:c>
      <x:c r="J7" t="str">
        <x:v>37167</x:v>
      </x:c>
      <x:c r="K7" t="n">
        <x:v>35.993554</x:v>
      </x:c>
      <x:c r="L7" t="n">
        <x:v>-86.4994229</x:v>
      </x:c>
      <x:c r="M7" s="85" t="str">
        <x:v>Tennessee cybersecurity materials confirm two operational state data centers; a state contract identifies the primary facility as Data Center South in Smyrna.</x:v>
      </x:c>
      <x:c r="N7" s="85" t="str">
        <x:v>tn.gov</x:v>
      </x:c>
      <x:c r="O7" s="85" t="str">
        <x:v>https://www.tn.gov/environment/policy/data-centers.html | https://www.tn.gov/cybersecurity/state-government-cybersecurity.html | https://www.tn.gov/content/dam/tn/tenncare/documents2/Deloitte.pdf | https://www.tn.gov/finance/sts.html | https://rmd-rda.tnsos.net/rda/generate/pdf/35498/print | https://www.yellowpages.com/nashville-tn/data-communication-services | https://www.simplecontacts.com/profile/Travis-Gamblin-5172af3</x:v>
      </x:c>
      <x:c r="P7" s="123" t="str">
        <x:v>2026-09-04</x:v>
      </x:c>
      <x:c r="Q7" s="85" t="str">
        <x:v>Current directories place the Tennessee data-communications/data-center facility at 92 Weakley Ln, Smyrna, TN 37167. The WGS84 point 35.993554, -86.4994229 is published for adjacent 93 Weakley Ln, so it is retained only as an approximate_site anchor, not an exact 92 Weakley Ln building point.</x:v>
      </x:c>
      <x:c r="R7" s="85" t="str">
        <x:v>approximate_site</x:v>
      </x:c>
      <x:c r="S7" s="85" t="str">
        <x:v>medium</x:v>
      </x:c>
      <x:c r="T7" s="85" t="str">
        <x:v>simplecontacts:adjacent-93-weakley-ln</x:v>
      </x:c>
    </x:row>
    <x:row r="8">
      <x:c r="A8" t="str">
        <x:v>TNCAND-008</x:v>
      </x:c>
      <x:c r="B8"/>
      <x:c r="C8" t="str">
        <x:v>Tennessee State Data Center North</x:v>
      </x:c>
      <x:c r="D8" t="str">
        <x:v>operational_government_data_center</x:v>
      </x:c>
      <x:c r="E8" t="str">
        <x:v>high</x:v>
      </x:c>
      <x:c r="F8" t="str">
        <x:v>901 5th Ave N</x:v>
      </x:c>
      <x:c r="G8" t="str">
        <x:v>Nashville</x:v>
      </x:c>
      <x:c r="H8" t="str">
        <x:v>Davidson</x:v>
      </x:c>
      <x:c r="I8" t="str">
        <x:v>TN</x:v>
      </x:c>
      <x:c r="J8" t="str">
        <x:v>37243</x:v>
      </x:c>
      <x:c r="K8" t="n">
        <x:v>36.171264</x:v>
      </x:c>
      <x:c r="L8" t="n">
        <x:v>-86.785312</x:v>
      </x:c>
      <x:c r="M8" s="85" t="str">
        <x:v>Tennessee cybersecurity materials confirm two operational state data centers; a state contract identifies the secondary facility as Data Center North in Nashville.</x:v>
      </x:c>
      <x:c r="N8" s="85" t="str">
        <x:v>tn.gov</x:v>
      </x:c>
      <x:c r="O8" s="85" t="str">
        <x:v>https://www.tn.gov/environment/policy/data-centers.html | https://www.tn.gov/cybersecurity/state-government-cybersecurity.html | https://www.tn.gov/content/dam/tn/tenncare/documents2/Deloitte.pdf | https://www.tn.gov/finance/sts.html | https://www.slideshare.net/slideshow/tn-data-governance-element-playbook-pdf/270290441 | https://www.ibegin.com/directory/us/tennessee/nashville/state-of-tennessee-data-center/</x:v>
      </x:c>
      <x:c r="P8" s="123" t="str">
        <x:v>2026-09-04</x:v>
      </x:c>
      <x:c r="Q8" s="85" t="str">
        <x:v>iBegin identifies the State Of Tennessee Data Center at 901 5th Ave N, Nashville, TN 37243 and directly publishes WGS84 coordinates 36.171264, -86.785312. This resolves the candidate at address/site level.</x:v>
      </x:c>
      <x:c r="R8" s="85" t="str">
        <x:v>address_or_site</x:v>
      </x:c>
      <x:c r="S8" s="85" t="str">
        <x:v>high</x:v>
      </x:c>
      <x:c r="T8" s="85" t="str">
        <x:v>ibegin:state-of-tennessee-data-center</x:v>
      </x:c>
    </x:row>
    <x:row r="9">
      <x:c r="A9" t="str">
        <x:v>TNCAND-009</x:v>
      </x:c>
      <x:c r="B9"/>
      <x:c r="C9" t="str">
        <x:v>Oak Ridge Leadership Computing Facility</x:v>
      </x:c>
      <x:c r="D9" t="str">
        <x:v>operational_research_computing_facility</x:v>
      </x:c>
      <x:c r="E9" t="str">
        <x:v>high</x:v>
      </x:c>
      <x:c r="F9" t="str">
        <x:v>One Bethel Valley Rd</x:v>
      </x:c>
      <x:c r="G9" t="str">
        <x:v>Oak Ridge</x:v>
      </x:c>
      <x:c r="H9" t="str">
        <x:v>Roane</x:v>
      </x:c>
      <x:c r="I9" t="str">
        <x:v>TN</x:v>
      </x:c>
      <x:c r="J9" t="str">
        <x:v>37830</x:v>
      </x:c>
      <x:c r="K9" t="n">
        <x:v>35.9313055556</x:v>
      </x:c>
      <x:c r="L9" t="n">
        <x:v>-84.3104166667</x:v>
      </x:c>
      <x:c r="M9" s="85" t="str">
        <x:v>ORNL describes OLCF as a user facility and documents exascale-class data-center construction at the Oak Ridge campus.</x:v>
      </x:c>
      <x:c r="N9" s="85" t="str">
        <x:v>olcf.ornl.gov | ornl.gov</x:v>
      </x:c>
      <x:c r="O9" s="85" t="str">
        <x:v>https://www.olcf.ornl.gov/contact-us/ | https://www.olcf.ornl.gov/2020/12/14/building-an-exascale-class-data-center/ | https://www.ornl.gov/directorate/ccsd | https://laboremploymenttraining.ornl.gov/location/</x:v>
      </x:c>
      <x:c r="P9" s="123" t="str">
        <x:v>2026-09-04</x:v>
      </x:c>
      <x:c r="Q9" s="85" t="str">
        <x:v>ORNL official page gives Visitor Center GPS for One Bethel Valley Rd; used as the address/site point for the campus-level candidate.</x:v>
      </x:c>
      <x:c r="R9" s="85" t="str">
        <x:v>address_or_site</x:v>
      </x:c>
      <x:c r="S9" s="85" t="str">
        <x:v>high</x:v>
      </x:c>
      <x:c r="T9" s="85"/>
    </x:row>
    <x:row r="10">
      <x:c r="A10" t="str">
        <x:v>TNCAND-010</x:v>
      </x:c>
      <x:c r="B10"/>
      <x:c r="C10" t="str">
        <x:v>National Institute for Computational Sciences Facility</x:v>
      </x:c>
      <x:c r="D10" t="str">
        <x:v>operational_research_computing_facility</x:v>
      </x:c>
      <x:c r="E10" t="str">
        <x:v>high</x:v>
      </x:c>
      <x:c r="F10" t="str">
        <x:v>One Bethel Valley Rd, Bldg 5100</x:v>
      </x:c>
      <x:c r="G10" t="str">
        <x:v>Oak Ridge</x:v>
      </x:c>
      <x:c r="H10" t="str">
        <x:v>Roane</x:v>
      </x:c>
      <x:c r="I10" t="str">
        <x:v>TN</x:v>
      </x:c>
      <x:c r="J10" t="str">
        <x:v>37830</x:v>
      </x:c>
      <x:c r="K10" t="n">
        <x:v>35.9313055556</x:v>
      </x:c>
      <x:c r="L10" t="n">
        <x:v>-84.3104166667</x:v>
      </x:c>
      <x:c r="M10" s="85" t="str">
        <x:v>NICS identifies its computing facility at Building 5100 on the ORNL campus.</x:v>
      </x:c>
      <x:c r="N10" s="85" t="str">
        <x:v>nics.utk.edu</x:v>
      </x:c>
      <x:c r="O10" s="85" t="str">
        <x:v>https://nics.utk.edu/facilities/ | https://nics.utk.edu/contact/ | https://laboremploymenttraining.ornl.gov/location/</x:v>
      </x:c>
      <x:c r="P10" s="123" t="str">
        <x:v>2026-09-04</x:v>
      </x:c>
      <x:c r="Q10" s="85" t="str">
        <x:v>NICS identifies Bldg 5100 at One Bethel Valley Road; ORNL publishes a campus/visitor-center GPS, so point is approximate_site.</x:v>
      </x:c>
      <x:c r="R10" s="85" t="str">
        <x:v>approximate_site</x:v>
      </x:c>
      <x:c r="S10" s="85" t="str">
        <x:v>medium</x:v>
      </x:c>
      <x:c r="T10" s="85" t="str">
        <x:v>ornl:visitor-center-gps</x:v>
      </x:c>
    </x:row>
    <x:row r="11">
      <x:c r="A11" t="str">
        <x:v>TNCAND-011</x:v>
      </x:c>
      <x:c r="B11"/>
      <x:c r="C11" t="str">
        <x:v>Vanderbilt ACCRE Data Center Rooms</x:v>
      </x:c>
      <x:c r="D11" t="str">
        <x:v>operational_research_computing_facility</x:v>
      </x:c>
      <x:c r="E11" t="str">
        <x:v>high</x:v>
      </x:c>
      <x:c r="F11" t="str">
        <x:v>1231 18th Avenue South (Hill Center, Suite 134)</x:v>
      </x:c>
      <x:c r="G11" t="str">
        <x:v>Nashville</x:v>
      </x:c>
      <x:c r="H11" t="str">
        <x:v>Davidson</x:v>
      </x:c>
      <x:c r="I11" t="str">
        <x:v>TN</x:v>
      </x:c>
      <x:c r="J11" t="str">
        <x:v>37212</x:v>
      </x:c>
      <x:c r="K11" t="n">
        <x:v>36.142856</x:v>
      </x:c>
      <x:c r="L11" t="n">
        <x:v>-86.796033</x:v>
      </x:c>
      <x:c r="M11" s="85" t="str">
        <x:v>Vanderbilt ACCRE documents research-computing hardware distributed across three data-center rooms.</x:v>
      </x:c>
      <x:c r="N11" s="85" t="str">
        <x:v>vanderbilt.edu</x:v>
      </x:c>
      <x:c r="O11" s="85" t="str">
        <x:v>https://www.vanderbilt.edu/accre/location/ | https://www.vanderbilt.edu/accre/technical-details/ | https://www.merchantcircle.com/vanderbilt-university-college-of-arts-science32-nashville-tn</x:v>
      </x:c>
      <x:c r="P11" s="123" t="str">
        <x:v>2026-09-04</x:v>
      </x:c>
      <x:c r="Q11" s="85" t="str">
        <x:v>Vanderbilt ACCRE officially identifies Hill Center at 1231 18th Ave S; MerchantCircle publishes an address-level coordinate for that building. This locates the building, not an individual server room within it.</x:v>
      </x:c>
      <x:c r="R11" s="85" t="str">
        <x:v>address_or_site</x:v>
      </x:c>
      <x:c r="S11" s="85" t="str">
        <x:v>high</x:v>
      </x:c>
      <x:c r="T11" s="85" t="str">
        <x:v>merchantcircle:1231-18th-ave-s</x:v>
      </x:c>
    </x:row>
    <x:row r="12">
      <x:c r="A12" t="str">
        <x:v>TNCAND-012</x:v>
      </x:c>
      <x:c r="B12" t="str">
        <x:v>TNDC-038</x:v>
      </x:c>
      <x:c r="C12" t="str">
        <x:v>Scipio Technologies NREP Listing</x:v>
      </x:c>
      <x:c r="D12" t="str">
        <x:v>linked_master_evidence</x:v>
      </x:c>
      <x:c r="E12" t="str">
        <x:v>high</x:v>
      </x:c>
      <x:c r="F12" t="str">
        <x:v>1661 Murfreesboro Pike</x:v>
      </x:c>
      <x:c r="G12" t="str">
        <x:v>Nashville</x:v>
      </x:c>
      <x:c r="H12" t="str">
        <x:v>Davidson</x:v>
      </x:c>
      <x:c r="I12" t="str">
        <x:v>TN</x:v>
      </x:c>
      <x:c r="J12" t="str">
        <x:v>37217</x:v>
      </x:c>
      <x:c r="K12"/>
      <x:c r="L12"/>
      <x:c r="M12" s="85" t="str">
        <x:v>Scipio's public support address is 1661 Murfreesboro Pike, matching TNDC-038. It is retained as linked supporting evidence, not a distinct spatial candidate.</x:v>
      </x:c>
      <x:c r="N12" s="85" t="str">
        <x:v>datacentermap.com | scipiotech.com</x:v>
      </x:c>
      <x:c r="O12" s="85" t="str">
        <x:v>https://www.datacentermap.com/usa/tennessee/nashville/ | https://scipiotech.com/support/ | https://www.datacentermap.com/usa/tennessee/nashville/nexus-nrep/</x:v>
      </x:c>
      <x:c r="P12" s="123" t="str">
        <x:v>2026-09-07</x:v>
      </x:c>
      <x:c r="Q12" s="85" t="str">
        <x:v>Resolved as linked evidence for TNDC-038 by the shared 1661 Murfreesboro Pike address. Coordinates remain blank because this row is not a distinct site.</x:v>
      </x:c>
      <x:c r="R12" s="85" t="str">
        <x:v>address_or_site</x:v>
      </x:c>
      <x:c r="S12" s="85" t="str">
        <x:v>high</x:v>
      </x:c>
      <x:c r="T12" s="85"/>
    </x:row>
    <x:row r="13">
      <x:c r="A13" t="str">
        <x:v>TNCAND-013</x:v>
      </x:c>
      <x:c r="B13"/>
      <x:c r="C13" t="str">
        <x:v>Airnet / Dataprise Chattanooga</x:v>
      </x:c>
      <x:c r="D13" t="str">
        <x:v>legacy_operational_listing</x:v>
      </x:c>
      <x:c r="E13" t="str">
        <x:v>medium</x:v>
      </x:c>
      <x:c r="F13" t="str">
        <x:v>801 Broad Street</x:v>
      </x:c>
      <x:c r="G13" t="str">
        <x:v>Chattanooga</x:v>
      </x:c>
      <x:c r="H13" t="str">
        <x:v>Hamilton</x:v>
      </x:c>
      <x:c r="I13" t="str">
        <x:v>TN</x:v>
      </x:c>
      <x:c r="J13" t="str">
        <x:v>37402</x:v>
      </x:c>
      <x:c r="K13" t="n">
        <x:v>35.046874</x:v>
      </x:c>
      <x:c r="L13" t="n">
        <x:v>-85.311133</x:v>
      </x:c>
      <x:c r="M13" s="85" t="str">
        <x:v>State and industry directories identify an Airnet data center; Dataprise currently lists a Chattanooga location, but current data-center operations at the address are not explicit.</x:v>
      </x:c>
      <x:c r="N13" s="85" t="str">
        <x:v>dataprise.com | datacentermap.com | tnecd.com</x:v>
      </x:c>
      <x:c r="O13" s="85" t="str">
        <x:v>https://www.dataprise.com/get-in-touch/location/chattanooga/ | https://www.datacentermap.com/usa/tennessee/chattanooga/ | https://tnecd.com/wp-content/uploads/2018/10/business-services.pdf | https://www.whereorg.com/attorney-referral-service-15170587</x:v>
      </x:c>
      <x:c r="P13" s="123" t="str">
        <x:v>2026-09-07</x:v>
      </x:c>
      <x:c r="Q13" s="85" t="str">
        <x:v>Current directory evidence lists the Airnet/Dataprise facility at 801 Broad Street, but no primary operator page confirms current data-center operations there. Retained as a candidate pending primary operational confirmation.</x:v>
      </x:c>
      <x:c r="R13" s="85" t="str">
        <x:v>address_or_site</x:v>
      </x:c>
      <x:c r="S13" s="85" t="str">
        <x:v>high</x:v>
      </x:c>
      <x:c r="T13" s="85"/>
    </x:row>
    <x:row r="14">
      <x:c r="A14" t="str">
        <x:v>TNCAND-014</x:v>
      </x:c>
      <x:c r="B14"/>
      <x:c r="C14" t="str">
        <x:v>Windstream Nashville — 940 3rd Ave N</x:v>
      </x:c>
      <x:c r="D14" t="str">
        <x:v>legacy_operational_listing</x:v>
      </x:c>
      <x:c r="E14" t="str">
        <x:v>medium</x:v>
      </x:c>
      <x:c r="F14" t="str">
        <x:v>940 3rd Ave N</x:v>
      </x:c>
      <x:c r="G14" t="str">
        <x:v>Nashville</x:v>
      </x:c>
      <x:c r="H14" t="str">
        <x:v>Davidson</x:v>
      </x:c>
      <x:c r="I14" t="str">
        <x:v>TN</x:v>
      </x:c>
      <x:c r="J14" t="str">
        <x:v>37201</x:v>
      </x:c>
      <x:c r="K14" t="n">
        <x:v>36.173667</x:v>
      </x:c>
      <x:c r="L14" t="n">
        <x:v>-86.7835769</x:v>
      </x:c>
      <x:c r="M14" s="85" t="str">
        <x:v>State and current industry/property listings identify the former NuVox/Windstream facility, but current data-center operating status is not directly confirmed by the operator.</x:v>
      </x:c>
      <x:c r="N14" s="85" t="str">
        <x:v>datacentermap.com | tnecd.com | cityfeet.com</x:v>
      </x:c>
      <x:c r="O14" s="85" t="str">
        <x:v>https://www.datacentermap.com/usa/tennessee/nashville/nuvox-nashville/ | https://tnecd.com/wp-content/uploads/2018/10/business-services.pdf | https://www.cityfeet.com/cont/listing/940-3rd-ave-n-nashville-tn-37201/cs39837774 | https://github.com/cmusatyalab/elijah-discovery-basic/blob/master/elijah/discovery/emulation/gps</x:v>
      </x:c>
      <x:c r="P14" s="123" t="str">
        <x:v>2026-09-07</x:v>
      </x:c>
      <x:c r="Q14" s="85" t="str">
        <x:v>Current directory evidence lists the former Windstream/NuVox facility at 940 3rd Ave N. Corporate ownership naming changed after the Uniti transaction, but no primary operator page confirms current data-center operations. Retained as a candidate.</x:v>
      </x:c>
      <x:c r="R14" s="85" t="str">
        <x:v>address_or_site</x:v>
      </x:c>
      <x:c r="S14" s="85" t="str">
        <x:v>high</x:v>
      </x:c>
      <x:c r="T14" s="85" t="str">
        <x:v>github-geocode:940-3rd-ave-n</x:v>
      </x:c>
    </x:row>
    <x:row r="15">
      <x:c r="A15" t="str">
        <x:v>TNCAND-015</x:v>
      </x:c>
      <x:c r="B15"/>
      <x:c r="C15" t="str">
        <x:v>Verizon / XO Memphis</x:v>
      </x:c>
      <x:c r="D15" t="str">
        <x:v>legacy_operational_listing</x:v>
      </x:c>
      <x:c r="E15" t="str">
        <x:v>medium</x:v>
      </x:c>
      <x:c r="F15" t="str">
        <x:v>5127 Truse Rd</x:v>
      </x:c>
      <x:c r="G15" t="str">
        <x:v>Memphis</x:v>
      </x:c>
      <x:c r="H15" t="str">
        <x:v>Shelby</x:v>
      </x:c>
      <x:c r="I15" t="str">
        <x:v>TN</x:v>
      </x:c>
      <x:c r="J15" t="str">
        <x:v>38117</x:v>
      </x:c>
      <x:c r="K15" t="n">
        <x:v>35.1086604</x:v>
      </x:c>
      <x:c r="L15" t="n">
        <x:v>-89.8910128</x:v>
      </x:c>
      <x:c r="M15" s="85" t="str">
        <x:v>State and county records connect the address to XO/Verizon, but current public evidence does not explicitly confirm an active retail data-center service.</x:v>
      </x:c>
      <x:c r="N15" s="85" t="str">
        <x:v>datacentermap.com | tnecd.com | shelbycountytn.gov | promos.telarus.com</x:v>
      </x:c>
      <x:c r="O15" s="85" t="str">
        <x:v>https://www.datacentermap.com/usa/tennessee/memphis/ | https://tnecd.com/wp-content/uploads/2018/10/business-services.pdf | https://www.shelbycountytn.gov/Archive/ViewFile/Item/13459 | https://promos.telarus.com/promo_docs/Q1-2011-XO-Colocation-and-DIA-Promo-Sales-Summary.pdf | https://www.whereorg.com/directv-15064353</x:v>
      </x:c>
      <x:c r="P15" s="123" t="str">
        <x:v>2026-09-07</x:v>
      </x:c>
      <x:c r="Q15" s="85" t="str">
        <x:v>Current directory evidence lists a Verizon facility at 5127 Truse Rd, but no primary current facility page confirms active data-center service. Retained as a candidate.</x:v>
      </x:c>
      <x:c r="R15" s="85" t="str">
        <x:v>address_or_site</x:v>
      </x:c>
      <x:c r="S15" s="85" t="str">
        <x:v>high</x:v>
      </x:c>
      <x:c r="T15" s="85"/>
    </x:row>
    <x:row r="16">
      <x:c r="A16" t="str">
        <x:v>TNCAND-016</x:v>
      </x:c>
      <x:c r="B16"/>
      <x:c r="C16" t="str">
        <x:v>Lumen Memphis 2 / former tw telecom</x:v>
      </x:c>
      <x:c r="D16" t="str">
        <x:v>legacy_operational_listing</x:v>
      </x:c>
      <x:c r="E16" t="str">
        <x:v>medium</x:v>
      </x:c>
      <x:c r="F16" t="str">
        <x:v>5425 E Raines Rd</x:v>
      </x:c>
      <x:c r="G16" t="str">
        <x:v>Memphis</x:v>
      </x:c>
      <x:c r="H16" t="str">
        <x:v>Shelby</x:v>
      </x:c>
      <x:c r="I16" t="str">
        <x:v>TN</x:v>
      </x:c>
      <x:c r="J16" t="str">
        <x:v>38115</x:v>
      </x:c>
      <x:c r="K16" t="n">
        <x:v>35.0344101</x:v>
      </x:c>
      <x:c r="L16" t="n">
        <x:v>-89.883273</x:v>
      </x:c>
      <x:c r="M16" s="85" t="str">
        <x:v>State and industry directories identify a former tw telecom/Lumen site, but current operator-level facility confirmation is sparse.</x:v>
      </x:c>
      <x:c r="N16" s="85" t="str">
        <x:v>tnecd.com | businessinternet.com | baxtel.com</x:v>
      </x:c>
      <x:c r="O16" s="85" t="str">
        <x:v>https://tnecd.com/wp-content/uploads/2018/10/business-services.pdf | https://businessinternet.com/tennessee/memphis | https://baxtel.com/data-center/memphis | https://www.whereorg.com/conference-technologies-15266003</x:v>
      </x:c>
      <x:c r="P16" s="123" t="str">
        <x:v>2026-09-07</x:v>
      </x:c>
      <x:c r="Q16" s="85" t="str">
        <x:v>Current sources conflict: one directory labels the former tw telecom/Lumen listing inactive, while another labels it operational. Retained as a candidate with unresolved operating status.</x:v>
      </x:c>
      <x:c r="R16" s="85" t="str">
        <x:v>address_or_site</x:v>
      </x:c>
      <x:c r="S16" s="85" t="str">
        <x:v>high</x:v>
      </x:c>
      <x:c r="T16" s="85"/>
    </x:row>
    <x:row r="17">
      <x:c r="A17" t="str">
        <x:v>TNCAND-017</x:v>
      </x:c>
      <x:c r="B17"/>
      <x:c r="C17" t="str">
        <x:v>CleanSpark Mountain City 30 MW Bitcoin Mining Proposal</x:v>
      </x:c>
      <x:c r="D17" t="str">
        <x:v>cancelled_crypto_mining_proposal</x:v>
      </x:c>
      <x:c r="E17" t="str">
        <x:v>high</x:v>
      </x:c>
      <x:c r="F17" t="str">
        <x:v>178 Rainbow Rd</x:v>
      </x:c>
      <x:c r="G17" t="str">
        <x:v>Mountain City</x:v>
      </x:c>
      <x:c r="H17" t="str">
        <x:v>Johnson</x:v>
      </x:c>
      <x:c r="I17" t="str">
        <x:v>TN</x:v>
      </x:c>
      <x:c r="J17" t="str">
        <x:v>37683</x:v>
      </x:c>
      <x:c r="K17"/>
      <x:c r="L17"/>
      <x:c r="M17" t="str">
        <x:v>Public planning records and current reporting identify a proposed 30 MW CleanSpark bitcoin-mining site on a 50-acre parcel at 178 Rainbow Rd. The rezoning did not advance, so it is not promoted into Master.</x:v>
      </x:c>
      <x:c r="N17" t="str">
        <x:v>mountaincitytn.gov | datacentermap.com | datacenterdynamics.com | lpm.org</x:v>
      </x:c>
      <x:c r="O17" t="str">
        <x:v>https://www.datacentermap.com/usa/tennessee/knoxville/cleanspark-mountain-city/ | https://www.datacenterdynamics.com/en/news/cleanspark-faces-backlash-over-bitcoin-mining-site-in-mountain-city-tennessee/ | https://www.lpm.org/news/2025-08-15/tennessee-town-pushes-back-over-proposed-bitcoin-mine-and-wins | https://cms3.revize.com/revize/mountaincity/Documents/Planning/PC%20Minutes%2002.27.2025.pdf | https://www.loopnet.com/property/178-rainbow-rd-mountain-city-tn-37683/47091-055%20%20%20%2002201%20000/ | https://www.zillow.com/homedetails/178-Rainbow-Rd-Mountain-City-TN-37683/299906354_zpid/</x:v>
      </x:c>
      <x:c r="P17" t="str">
        <x:v>2026-09-04</x:v>
      </x:c>
      <x:c r="Q17" t="str">
        <x:v>178 Rainbow Rd is independently tied to Johnson County parcel 055-022.01 / 05502201000 and 50.48 acres by multiple property-record sources. This is the proposed CleanSpark Mountain City site. Reviewed public pages expose map imagery but not a textual WGS84 parcel centroid/building point; coordinates remain blank until a Johnson County/Tennessee parcel geometry endpoint or defensible address-level geocode is obtained.</x:v>
      </x:c>
      <x:c r="R17" t="str">
        <x:v>address_or_site</x:v>
      </x:c>
      <x:c r="S17" t="str">
        <x:v>high</x:v>
      </x:c>
      <x:c r="T17"/>
    </x:row>
  </x:sheetData>
  <x:dataValidations count="6">
    <x:dataValidation type="list" sqref="E2:E2000">
      <x:formula1>"high,medium,low"</x:formula1>
    </x:dataValidation>
    <x:dataValidation type="list" sqref="I2:I2000">
      <x:formula1>"TN"</x:formula1>
    </x:dataValidation>
    <x:dataValidation type="decimal" operator="between" sqref="K2:K2000">
      <x:formula1>-90</x:formula1>
      <x:formula2>90</x:formula2>
    </x:dataValidation>
    <x:dataValidation type="decimal" operator="between" sqref="L2:L2000">
      <x:formula1>-180</x:formula1>
      <x:formula2>180</x:formula2>
    </x:dataValidation>
    <x:dataValidation type="list" sqref="R2:R2000">
      <x:formula1>"exact,address_or_site,approximate_site,approximate,area_or_city"</x:formula1>
    </x:dataValidation>
    <x:dataValidation type="list" sqref="S2:S2000">
      <x:formula1>"high,medium,low"</x:formula1>
    </x:dataValidation>
  </x:dataValidations>
  <x:pageMargins left="0.7" right="0.7" top="0.75" bottom="0.75" header="0.3" footer="0.3"/>
  <x:tableParts count="1">
    <x:tablePart xmlns:r="http://schemas.openxmlformats.org/officeDocument/2006/relationships" r:id="R44533988b8334e40"/>
  </x:tableParts>
</x:worksheet>
</file>

<file path=xl/worksheets/sheet1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34" hidden="0" customWidth="1"/>
    <x:col min="6" max="6" width="34" hidden="0" customWidth="1"/>
    <x:col min="7" max="7" width="58" hidden="0" customWidth="1"/>
    <x:col min="8" max="8" width="44" hidden="0" customWidth="1"/>
  </x:cols>
  <x:sheetData>
    <x:row r="1">
      <x:c r="A1" s="84" t="str">
        <x:v>date</x:v>
      </x:c>
      <x:c r="B1" s="84" t="str">
        <x:v>facility_id</x:v>
      </x:c>
      <x:c r="C1" s="84" t="str">
        <x:v>action</x:v>
      </x:c>
      <x:c r="D1" s="84" t="str">
        <x:v>field_changed</x:v>
      </x:c>
      <x:c r="E1" s="84" t="str">
        <x:v>old_value</x:v>
      </x:c>
      <x:c r="F1" s="84" t="str">
        <x:v>new_value</x:v>
      </x:c>
      <x:c r="G1" s="84" t="str">
        <x:v>evidence</x:v>
      </x:c>
      <x:c r="H1" s="84" t="str">
        <x:v>reason</x:v>
      </x:c>
    </x:row>
    <x:row r="2">
      <x:c r="A2" s="85" t="str">
        <x:v>2026-09-03</x:v>
      </x:c>
      <x:c r="B2" s="85"/>
      <x:c r="C2" s="85" t="str">
        <x:v>UPDATE</x:v>
      </x:c>
      <x:c r="D2" s="85" t="str">
        <x:v>schema</x:v>
      </x:c>
      <x:c r="E2" s="85" t="str">
        <x:v>Master A:AF preserved</x:v>
      </x:c>
      <x:c r="F2" s="85" t="str">
        <x:v>Added AG:AO QA/provenance fields</x:v>
      </x:c>
      <x:c r="G2" s="85" t="str">
        <x:v>User compatibility specification</x:v>
      </x:c>
      <x:c r="H2" s="85" t="str">
        <x:v>Additive schema evolution only</x:v>
      </x:c>
    </x:row>
    <x:row r="3">
      <x:c r="A3" s="85" t="str">
        <x:v>2026-09-03</x:v>
      </x:c>
      <x:c r="B3" s="85"/>
      <x:c r="C3" s="85" t="str">
        <x:v>ADD</x:v>
      </x:c>
      <x:c r="D3" s="85" t="str">
        <x:v>Candidate_Sites</x:v>
      </x:c>
      <x:c r="E3" s="85"/>
      <x:c r="F3" s="85" t="str">
        <x:v>4 explicit candidate records</x:v>
      </x:c>
      <x:c r="G3" s="85" t="str">
        <x:v>Public URLs stored in sheet</x:v>
      </x:c>
      <x:c r="H3" s="85" t="str">
        <x:v>Candidate layer added without changing status_normalized vocabulary</x:v>
      </x:c>
    </x:row>
    <x:row r="4">
      <x:c r="A4" s="85" t="str">
        <x:v>2026-09-03</x:v>
      </x:c>
      <x:c r="B4" s="85"/>
      <x:c r="C4" s="85" t="str">
        <x:v>ADD</x:v>
      </x:c>
      <x:c r="D4" s="85" t="str">
        <x:v>Raw_Aligned</x:v>
      </x:c>
      <x:c r="E4" s="85" t="str">
        <x:v>61 source records</x:v>
      </x:c>
      <x:c r="F4" s="85" t="str">
        <x:v>83 source records</x:v>
      </x:c>
      <x:c r="G4" s="85" t="str">
        <x:v>22 public verification rows</x:v>
      </x:c>
      <x:c r="H4" s="85" t="str">
        <x:v>Improve cross-source traceability</x:v>
      </x:c>
    </x:row>
    <x:row r="5">
      <x:c r="A5" s="85" t="str">
        <x:v>2026-09-03</x:v>
      </x:c>
      <x:c r="B5" s="85" t="str">
        <x:v>TNDC-005</x:v>
      </x:c>
      <x:c r="C5" s="85" t="str">
        <x:v>UPDATE</x:v>
      </x:c>
      <x:c r="D5" s="85" t="str">
        <x:v>operator</x:v>
      </x:c>
      <x:c r="E5" s="85" t="str">
        <x:v>Peace Communications</x:v>
      </x:c>
      <x:c r="F5" s="85" t="str">
        <x:v>Scipio Technologies</x:v>
      </x:c>
      <x:c r="G5" s="85" t="str">
        <x:v>https://scipiotech.com/support/</x:v>
      </x:c>
      <x:c r="H5" s="85" t="str">
        <x:v>Evidence-backed update</x:v>
      </x:c>
    </x:row>
    <x:row r="6">
      <x:c r="A6" s="85" t="str">
        <x:v>2026-09-03</x:v>
      </x:c>
      <x:c r="B6" s="85" t="str">
        <x:v>TNDC-005</x:v>
      </x:c>
      <x:c r="C6" s="85" t="str">
        <x:v>UPDATE</x:v>
      </x:c>
      <x:c r="D6" s="85" t="str">
        <x:v>operators</x:v>
      </x:c>
      <x:c r="E6" s="85" t="str">
        <x:v>Peace Communications</x:v>
      </x:c>
      <x:c r="F6" s="85" t="str">
        <x:v>Peace Communications | Scipio Technologies</x:v>
      </x:c>
      <x:c r="G6" s="85" t="str">
        <x:v>https://scipiotech.com/support/</x:v>
      </x:c>
      <x:c r="H6" s="85" t="str">
        <x:v>Evidence-backed update</x:v>
      </x:c>
    </x:row>
    <x:row r="7">
      <x:c r="A7" s="85" t="str">
        <x:v>2026-09-03</x:v>
      </x:c>
      <x:c r="B7" s="85" t="str">
        <x:v>TNDC-005</x:v>
      </x:c>
      <x:c r="C7" s="85" t="str">
        <x:v>UPDATE</x:v>
      </x:c>
      <x:c r="D7" s="85" t="str">
        <x:v>county</x:v>
      </x:c>
      <x:c r="E7" s="85"/>
      <x:c r="F7" s="85" t="str">
        <x:v>Hamilton</x:v>
      </x:c>
      <x:c r="G7" s="85" t="str">
        <x:v>https://scipiotech.com/support/</x:v>
      </x:c>
      <x:c r="H7" s="85" t="str">
        <x:v>Evidence-backed update</x:v>
      </x:c>
    </x:row>
    <x:row r="8">
      <x:c r="A8" s="85" t="str">
        <x:v>2026-09-03</x:v>
      </x:c>
      <x:c r="B8" s="85" t="str">
        <x:v>TNDC-008</x:v>
      </x:c>
      <x:c r="C8" s="85" t="str">
        <x:v>UPDATE</x:v>
      </x:c>
      <x:c r="D8" s="85" t="str">
        <x:v>address</x:v>
      </x:c>
      <x:c r="E8" s="85"/>
      <x:c r="F8" s="85" t="str">
        <x:v>9 FedEx Pkwy</x:v>
      </x:c>
      <x:c r="G8" s="85" t="str">
        <x:v>https://colomap.com/facilities/collierville-enterprise-data-center/</x:v>
      </x:c>
      <x:c r="H8" s="85" t="str">
        <x:v>Evidence-backed update</x:v>
      </x:c>
    </x:row>
    <x:row r="9">
      <x:c r="A9" s="85" t="str">
        <x:v>2026-09-03</x:v>
      </x:c>
      <x:c r="B9" s="85" t="str">
        <x:v>TNDC-008</x:v>
      </x:c>
      <x:c r="C9" s="85" t="str">
        <x:v>UPDATE</x:v>
      </x:c>
      <x:c r="D9" s="85" t="str">
        <x:v>postal_code</x:v>
      </x:c>
      <x:c r="E9" s="85"/>
      <x:c r="F9" s="85" t="str">
        <x:v>38017</x:v>
      </x:c>
      <x:c r="G9" s="85" t="str">
        <x:v>https://colomap.com/facilities/collierville-enterprise-data-center/</x:v>
      </x:c>
      <x:c r="H9" s="85" t="str">
        <x:v>Evidence-backed update</x:v>
      </x:c>
    </x:row>
    <x:row r="10">
      <x:c r="A10" s="85" t="str">
        <x:v>2026-09-03</x:v>
      </x:c>
      <x:c r="B10" s="85" t="str">
        <x:v>TNDC-008</x:v>
      </x:c>
      <x:c r="C10" s="85" t="str">
        <x:v>UPDATE</x:v>
      </x:c>
      <x:c r="D10" s="85" t="str">
        <x:v>location_precision</x:v>
      </x:c>
      <x:c r="E10" s="85" t="str">
        <x:v>approximate</x:v>
      </x:c>
      <x:c r="F10" s="85" t="str">
        <x:v>address_or_site</x:v>
      </x:c>
      <x:c r="G10" s="85" t="str">
        <x:v>https://colomap.com/facilities/collierville-enterprise-data-center/</x:v>
      </x:c>
      <x:c r="H10" s="85" t="str">
        <x:v>Evidence-backed update</x:v>
      </x:c>
    </x:row>
    <x:row r="11">
      <x:c r="A11" s="85" t="str">
        <x:v>2026-09-03</x:v>
      </x:c>
      <x:c r="B11" s="85" t="str">
        <x:v>TNDC-014</x:v>
      </x:c>
      <x:c r="C11" s="85" t="str">
        <x:v>UPDATE</x:v>
      </x:c>
      <x:c r="D11" s="85" t="str">
        <x:v>address</x:v>
      </x:c>
      <x:c r="E11" s="85"/>
      <x:c r="F11" s="85" t="str">
        <x:v>1398 Gateway Dr</x:v>
      </x:c>
      <x:c r="G11" s="85" t="str">
        <x:v>https://baxtel.com/data-center/centersquare-gallatin-nas</x:v>
      </x:c>
      <x:c r="H11" s="85" t="str">
        <x:v>Evidence-backed update</x:v>
      </x:c>
    </x:row>
    <x:row r="12">
      <x:c r="A12" s="85" t="str">
        <x:v>2026-09-03</x:v>
      </x:c>
      <x:c r="B12" s="85" t="str">
        <x:v>TNDC-014</x:v>
      </x:c>
      <x:c r="C12" s="85" t="str">
        <x:v>UPDATE</x:v>
      </x:c>
      <x:c r="D12" s="85" t="str">
        <x:v>postal_code</x:v>
      </x:c>
      <x:c r="E12" s="85"/>
      <x:c r="F12" s="85" t="str">
        <x:v>37066</x:v>
      </x:c>
      <x:c r="G12" s="85" t="str">
        <x:v>https://baxtel.com/data-center/centersquare-gallatin-nas</x:v>
      </x:c>
      <x:c r="H12" s="85" t="str">
        <x:v>Evidence-backed update</x:v>
      </x:c>
    </x:row>
    <x:row r="13">
      <x:c r="A13" s="85" t="str">
        <x:v>2026-09-03</x:v>
      </x:c>
      <x:c r="B13" s="85" t="str">
        <x:v>TNDC-017</x:v>
      </x:c>
      <x:c r="C13" s="85" t="str">
        <x:v>UPDATE</x:v>
      </x:c>
      <x:c r="D13" s="85" t="str">
        <x:v>address</x:v>
      </x:c>
      <x:c r="E13" s="85"/>
      <x:c r="F13" s="85" t="str">
        <x:v>5101 S National Dr</x:v>
      </x:c>
      <x:c r="G13" s="85" t="str">
        <x:v>https://www.datacentermap.com/usa/tennessee/knoxville/bitdeer-knoxville-tennessee/specs/</x:v>
      </x:c>
      <x:c r="H13" s="85" t="str">
        <x:v>Evidence-backed update</x:v>
      </x:c>
    </x:row>
    <x:row r="14">
      <x:c r="A14" s="85" t="str">
        <x:v>2026-09-03</x:v>
      </x:c>
      <x:c r="B14" s="85" t="str">
        <x:v>TNDC-017</x:v>
      </x:c>
      <x:c r="C14" s="85" t="str">
        <x:v>UPDATE</x:v>
      </x:c>
      <x:c r="D14" s="85" t="str">
        <x:v>postal_code</x:v>
      </x:c>
      <x:c r="E14" s="85"/>
      <x:c r="F14" s="85" t="str">
        <x:v>37914</x:v>
      </x:c>
      <x:c r="G14" s="85" t="str">
        <x:v>https://www.datacentermap.com/usa/tennessee/knoxville/bitdeer-knoxville-tennessee/specs/</x:v>
      </x:c>
      <x:c r="H14" s="85" t="str">
        <x:v>Evidence-backed update</x:v>
      </x:c>
    </x:row>
    <x:row r="15">
      <x:c r="A15" s="85" t="str">
        <x:v>2026-09-03</x:v>
      </x:c>
      <x:c r="B15" s="85" t="str">
        <x:v>TNDC-017</x:v>
      </x:c>
      <x:c r="C15" s="85" t="str">
        <x:v>UPDATE</x:v>
      </x:c>
      <x:c r="D15" s="85" t="str">
        <x:v>location_precision</x:v>
      </x:c>
      <x:c r="E15" s="85" t="str">
        <x:v>approximate</x:v>
      </x:c>
      <x:c r="F15" s="85" t="str">
        <x:v>address_or_site</x:v>
      </x:c>
      <x:c r="G15" s="85" t="str">
        <x:v>https://www.datacentermap.com/usa/tennessee/knoxville/bitdeer-knoxville-tennessee/specs/</x:v>
      </x:c>
      <x:c r="H15" s="85" t="str">
        <x:v>Evidence-backed update</x:v>
      </x:c>
    </x:row>
    <x:row r="16">
      <x:c r="A16" s="85" t="str">
        <x:v>2026-09-03</x:v>
      </x:c>
      <x:c r="B16" s="85" t="str">
        <x:v>TNDC-017</x:v>
      </x:c>
      <x:c r="C16" s="85" t="str">
        <x:v>UPDATE</x:v>
      </x:c>
      <x:c r="D16" s="85" t="str">
        <x:v>status_normalized</x:v>
      </x:c>
      <x:c r="E16" s="85" t="str">
        <x:v>under_construction</x:v>
      </x:c>
      <x:c r="F16" s="85" t="str">
        <x:v>operational</x:v>
      </x:c>
      <x:c r="G16" s="85" t="str">
        <x:v>https://www.datacentermap.com/usa/tennessee/knoxville/bitdeer-knoxville-tennessee/specs/</x:v>
      </x:c>
      <x:c r="H16" s="85" t="str">
        <x:v>Evidence-backed update</x:v>
      </x:c>
    </x:row>
    <x:row r="17">
      <x:c r="A17" s="85" t="str">
        <x:v>2026-09-03</x:v>
      </x:c>
      <x:c r="B17" s="85" t="str">
        <x:v>TNDC-017</x:v>
      </x:c>
      <x:c r="C17" s="85" t="str">
        <x:v>UPDATE</x:v>
      </x:c>
      <x:c r="D17" s="85" t="str">
        <x:v>status_values</x:v>
      </x:c>
      <x:c r="E17" s="85" t="str">
        <x:v>under_construction</x:v>
      </x:c>
      <x:c r="F17" s="85" t="str">
        <x:v>operational | under_construction</x:v>
      </x:c>
      <x:c r="G17" s="85" t="str">
        <x:v>https://www.datacentermap.com/usa/tennessee/knoxville/bitdeer-knoxville-tennessee/specs/</x:v>
      </x:c>
      <x:c r="H17" s="85" t="str">
        <x:v>Evidence-backed update</x:v>
      </x:c>
    </x:row>
    <x:row r="18">
      <x:c r="A18" s="85" t="str">
        <x:v>2026-09-03</x:v>
      </x:c>
      <x:c r="B18" s="85" t="str">
        <x:v>TNDC-017</x:v>
      </x:c>
      <x:c r="C18" s="85" t="str">
        <x:v>UPDATE</x:v>
      </x:c>
      <x:c r="D18" s="85" t="str">
        <x:v>status_conflict_flag</x:v>
      </x:c>
      <x:c r="E18" s="85" t="str">
        <x:v>False</x:v>
      </x:c>
      <x:c r="F18" s="85" t="str">
        <x:v>True</x:v>
      </x:c>
      <x:c r="G18" s="85" t="str">
        <x:v>https://www.datacentermap.com/usa/tennessee/knoxville/bitdeer-knoxville-tennessee/specs/</x:v>
      </x:c>
      <x:c r="H18" s="85" t="str">
        <x:v>Evidence-backed update</x:v>
      </x:c>
    </x:row>
    <x:row r="19">
      <x:c r="A19" s="85" t="str">
        <x:v>2026-09-03</x:v>
      </x:c>
      <x:c r="B19" s="85" t="str">
        <x:v>TNDC-018</x:v>
      </x:c>
      <x:c r="C19" s="85" t="str">
        <x:v>UPDATE</x:v>
      </x:c>
      <x:c r="D19" s="85" t="str">
        <x:v>operator</x:v>
      </x:c>
      <x:c r="E19" s="85" t="str">
        <x:v>Peace Communications (Formerly Nexus Group)</x:v>
      </x:c>
      <x:c r="F19" s="85" t="str">
        <x:v>Scipio Technologies</x:v>
      </x:c>
      <x:c r="G19" s="85" t="str">
        <x:v>https://scipiotech.com/support/</x:v>
      </x:c>
      <x:c r="H19" s="85" t="str">
        <x:v>Evidence-backed update</x:v>
      </x:c>
    </x:row>
    <x:row r="20">
      <x:c r="A20" s="85" t="str">
        <x:v>2026-09-03</x:v>
      </x:c>
      <x:c r="B20" s="85" t="str">
        <x:v>TNDC-018</x:v>
      </x:c>
      <x:c r="C20" s="85" t="str">
        <x:v>UPDATE</x:v>
      </x:c>
      <x:c r="D20" s="85" t="str">
        <x:v>operators</x:v>
      </x:c>
      <x:c r="E20" s="85" t="str">
        <x:v>Peace Communications (Formerly Nexus Group)</x:v>
      </x:c>
      <x:c r="F20" s="85" t="str">
        <x:v>Nexus Group | Peace Communications | Scipio Technologies</x:v>
      </x:c>
      <x:c r="G20" s="85" t="str">
        <x:v>https://scipiotech.com/support/</x:v>
      </x:c>
      <x:c r="H20" s="85" t="str">
        <x:v>Evidence-backed update</x:v>
      </x:c>
    </x:row>
    <x:row r="21">
      <x:c r="A21" s="85" t="str">
        <x:v>2026-09-03</x:v>
      </x:c>
      <x:c r="B21" s="85" t="str">
        <x:v>TNDC-018</x:v>
      </x:c>
      <x:c r="C21" s="85" t="str">
        <x:v>UPDATE</x:v>
      </x:c>
      <x:c r="D21" s="85" t="str">
        <x:v>county</x:v>
      </x:c>
      <x:c r="E21" s="85"/>
      <x:c r="F21" s="85" t="str">
        <x:v>Knox</x:v>
      </x:c>
      <x:c r="G21" s="85" t="str">
        <x:v>https://scipiotech.com/support/</x:v>
      </x:c>
      <x:c r="H21" s="85" t="str">
        <x:v>Evidence-backed update</x:v>
      </x:c>
    </x:row>
    <x:row r="22">
      <x:c r="A22" s="85" t="str">
        <x:v>2026-09-03</x:v>
      </x:c>
      <x:c r="B22" s="85" t="str">
        <x:v>TNDC-021</x:v>
      </x:c>
      <x:c r="C22" s="85" t="str">
        <x:v>UPDATE</x:v>
      </x:c>
      <x:c r="D22" s="85" t="str">
        <x:v>status_normalized</x:v>
      </x:c>
      <x:c r="E22" s="85" t="str">
        <x:v>proposed</x:v>
      </x:c>
      <x:c r="F22" s="85" t="str">
        <x:v>cancelled</x:v>
      </x:c>
      <x:c r="G22" s="85" t="str">
        <x:v>https://www.arnold.af.mil/News/Article-Display/Article/4505271/notification-of-ai-data-center-no-proposal/</x:v>
      </x:c>
      <x:c r="H22" s="85" t="str">
        <x:v>Evidence-backed update</x:v>
      </x:c>
    </x:row>
    <x:row r="23">
      <x:c r="A23" s="85" t="str">
        <x:v>2026-09-03</x:v>
      </x:c>
      <x:c r="B23" s="85" t="str">
        <x:v>TNDC-021</x:v>
      </x:c>
      <x:c r="C23" s="85" t="str">
        <x:v>UPDATE</x:v>
      </x:c>
      <x:c r="D23" s="85" t="str">
        <x:v>status_values</x:v>
      </x:c>
      <x:c r="E23" s="85" t="str">
        <x:v>proposed</x:v>
      </x:c>
      <x:c r="F23" s="85" t="str">
        <x:v>proposed | no_proposal</x:v>
      </x:c>
      <x:c r="G23" s="85" t="str">
        <x:v>https://www.arnold.af.mil/News/Article-Display/Article/4505271/notification-of-ai-data-center-no-proposal/</x:v>
      </x:c>
      <x:c r="H23" s="85" t="str">
        <x:v>Evidence-backed update</x:v>
      </x:c>
    </x:row>
    <x:row r="24">
      <x:c r="A24" s="85" t="str">
        <x:v>2026-09-03</x:v>
      </x:c>
      <x:c r="B24" s="85" t="str">
        <x:v>TNDC-021</x:v>
      </x:c>
      <x:c r="C24" s="85" t="str">
        <x:v>UPDATE</x:v>
      </x:c>
      <x:c r="D24" s="85" t="str">
        <x:v>status_conflict_flag</x:v>
      </x:c>
      <x:c r="E24" s="85" t="str">
        <x:v>False</x:v>
      </x:c>
      <x:c r="F24" s="85" t="str">
        <x:v>True</x:v>
      </x:c>
      <x:c r="G24" s="85" t="str">
        <x:v>https://www.arnold.af.mil/News/Article-Display/Article/4505271/notification-of-ai-data-center-no-proposal/</x:v>
      </x:c>
      <x:c r="H24" s="85" t="str">
        <x:v>Evidence-backed update</x:v>
      </x:c>
    </x:row>
    <x:row r="25">
      <x:c r="A25" s="85" t="str">
        <x:v>2026-09-03</x:v>
      </x:c>
      <x:c r="B25" s="85" t="str">
        <x:v>TNDC-024</x:v>
      </x:c>
      <x:c r="C25" s="85" t="str">
        <x:v>UPDATE</x:v>
      </x:c>
      <x:c r="D25" s="85" t="str">
        <x:v>address</x:v>
      </x:c>
      <x:c r="E25" s="85"/>
      <x:c r="F25" s="85" t="str">
        <x:v>204 Red Rd, Ste 200</x:v>
      </x:c>
      <x:c r="G25" s="85" t="str">
        <x:v>https://www.tn.gov/ecd/news/2015/7/15/litewire-llc-to-open-new-facility-in-warren-county.html</x:v>
      </x:c>
      <x:c r="H25" s="85" t="str">
        <x:v>Evidence-backed update</x:v>
      </x:c>
    </x:row>
    <x:row r="26">
      <x:c r="A26" s="85" t="str">
        <x:v>2026-09-03</x:v>
      </x:c>
      <x:c r="B26" s="85" t="str">
        <x:v>TNDC-024</x:v>
      </x:c>
      <x:c r="C26" s="85" t="str">
        <x:v>UPDATE</x:v>
      </x:c>
      <x:c r="D26" s="85" t="str">
        <x:v>postal_code</x:v>
      </x:c>
      <x:c r="E26" s="85"/>
      <x:c r="F26" s="85" t="str">
        <x:v>37110</x:v>
      </x:c>
      <x:c r="G26" s="85" t="str">
        <x:v>https://www.tn.gov/ecd/news/2015/7/15/litewire-llc-to-open-new-facility-in-warren-county.html</x:v>
      </x:c>
      <x:c r="H26" s="85" t="str">
        <x:v>Evidence-backed update</x:v>
      </x:c>
    </x:row>
    <x:row r="27">
      <x:c r="A27" s="85" t="str">
        <x:v>2026-09-03</x:v>
      </x:c>
      <x:c r="B27" s="85" t="str">
        <x:v>TNDC-027</x:v>
      </x:c>
      <x:c r="C27" s="85" t="str">
        <x:v>UPDATE</x:v>
      </x:c>
      <x:c r="D27" s="85" t="str">
        <x:v>county</x:v>
      </x:c>
      <x:c r="E27" s="85"/>
      <x:c r="F27" s="85" t="str">
        <x:v>Shelby</x:v>
      </x:c>
      <x:c r="G27" s="85" t="str">
        <x:v>https://www.edgeconnex.com/wp-content/uploads/2023/06/ECX-22-39-MEMPHIS-2023-DATA-SHEET-V3.pdf</x:v>
      </x:c>
      <x:c r="H27" s="85" t="str">
        <x:v>Evidence-backed update</x:v>
      </x:c>
    </x:row>
    <x:row r="28">
      <x:c r="A28" s="85" t="str">
        <x:v>2026-09-03</x:v>
      </x:c>
      <x:c r="B28" s="85" t="str">
        <x:v>TNDC-028</x:v>
      </x:c>
      <x:c r="C28" s="85" t="str">
        <x:v>UPDATE</x:v>
      </x:c>
      <x:c r="D28" s="85" t="str">
        <x:v>county</x:v>
      </x:c>
      <x:c r="E28" s="85"/>
      <x:c r="F28" s="85" t="str">
        <x:v>Shelby</x:v>
      </x:c>
      <x:c r="G28" s="85" t="str">
        <x:v>https://www.expedient.com/data-centers/memphis/</x:v>
      </x:c>
      <x:c r="H28" s="85" t="str">
        <x:v>Evidence-backed update</x:v>
      </x:c>
    </x:row>
    <x:row r="29">
      <x:c r="A29" s="85" t="str">
        <x:v>2026-09-03</x:v>
      </x:c>
      <x:c r="B29" s="85" t="str">
        <x:v>TNDC-029</x:v>
      </x:c>
      <x:c r="C29" s="85" t="str">
        <x:v>UPDATE</x:v>
      </x:c>
      <x:c r="D29" s="85" t="str">
        <x:v>county</x:v>
      </x:c>
      <x:c r="E29" s="85"/>
      <x:c r="F29" s="85" t="str">
        <x:v>Shelby</x:v>
      </x:c>
      <x:c r="G29" s="85" t="str">
        <x:v>https://www.datacentermap.com/usa/tennessee/memphis/level3-memphis1/</x:v>
      </x:c>
      <x:c r="H29" s="85" t="str">
        <x:v>Evidence-backed update</x:v>
      </x:c>
    </x:row>
    <x:row r="30">
      <x:c r="A30" s="85" t="str">
        <x:v>2026-09-03</x:v>
      </x:c>
      <x:c r="B30" s="85" t="str">
        <x:v>TNDC-033</x:v>
      </x:c>
      <x:c r="C30" s="85" t="str">
        <x:v>UPDATE</x:v>
      </x:c>
      <x:c r="D30" s="85" t="str">
        <x:v>county</x:v>
      </x:c>
      <x:c r="E30" s="85"/>
      <x:c r="F30" s="85" t="str">
        <x:v>Davidson</x:v>
      </x:c>
      <x:c r="G30" s="85" t="str">
        <x:v>https://static.datacentermap.com/company/edgeconnex/datacenter5546/EDCNAS01%20-%20Data%20Sheet.pdf</x:v>
      </x:c>
      <x:c r="H30" s="85" t="str">
        <x:v>Evidence-backed update</x:v>
      </x:c>
    </x:row>
    <x:row r="31">
      <x:c r="A31" s="85" t="str">
        <x:v>2026-09-03</x:v>
      </x:c>
      <x:c r="B31" s="85" t="str">
        <x:v>TNDC-035</x:v>
      </x:c>
      <x:c r="C31" s="85" t="str">
        <x:v>UPDATE</x:v>
      </x:c>
      <x:c r="D31" s="85" t="str">
        <x:v>county</x:v>
      </x:c>
      <x:c r="E31" s="85"/>
      <x:c r="F31" s="85" t="str">
        <x:v>Davidson</x:v>
      </x:c>
      <x:c r="G31" s="85" t="str">
        <x:v>https://www.datacentermap.com/usa/tennessee/nashville/h5-nashville/</x:v>
      </x:c>
      <x:c r="H31" s="85" t="str">
        <x:v>Evidence-backed update</x:v>
      </x:c>
    </x:row>
    <x:row r="32">
      <x:c r="A32" s="85" t="str">
        <x:v>2026-09-03</x:v>
      </x:c>
      <x:c r="B32" s="85" t="str">
        <x:v>TNDC-036</x:v>
      </x:c>
      <x:c r="C32" s="85" t="str">
        <x:v>UPDATE</x:v>
      </x:c>
      <x:c r="D32" s="85" t="str">
        <x:v>county</x:v>
      </x:c>
      <x:c r="E32" s="85"/>
      <x:c r="F32" s="85" t="str">
        <x:v>Davidson</x:v>
      </x:c>
      <x:c r="G32" s="85" t="str">
        <x:v>https://www.wsmv.com/2026/06/04/how-many-data-centers-are-there-nashville-heres-map-where-theyre-located/</x:v>
      </x:c>
      <x:c r="H32" s="85" t="str">
        <x:v>Evidence-backed update</x:v>
      </x:c>
    </x:row>
    <x:row r="33">
      <x:c r="A33" s="85" t="str">
        <x:v>2026-09-03</x:v>
      </x:c>
      <x:c r="B33" s="85" t="str">
        <x:v>TNDC-037</x:v>
      </x:c>
      <x:c r="C33" s="85" t="str">
        <x:v>UPDATE</x:v>
      </x:c>
      <x:c r="D33" s="85" t="str">
        <x:v>county</x:v>
      </x:c>
      <x:c r="E33" s="85"/>
      <x:c r="F33" s="85" t="str">
        <x:v>Davidson</x:v>
      </x:c>
      <x:c r="G33" s="85" t="str">
        <x:v>https://www.wsmv.com/2026/06/04/how-many-data-centers-are-there-nashville-heres-map-where-theyre-located/</x:v>
      </x:c>
      <x:c r="H33" s="85" t="str">
        <x:v>Evidence-backed update</x:v>
      </x:c>
    </x:row>
    <x:row r="34">
      <x:c r="A34" s="85" t="str">
        <x:v>2026-09-03</x:v>
      </x:c>
      <x:c r="B34" s="85" t="str">
        <x:v>TNDC-038</x:v>
      </x:c>
      <x:c r="C34" s="85" t="str">
        <x:v>UPDATE</x:v>
      </x:c>
      <x:c r="D34" s="85" t="str">
        <x:v>operator</x:v>
      </x:c>
      <x:c r="E34" s="85" t="str">
        <x:v>Peace Communications (Formerly Nexus Group)</x:v>
      </x:c>
      <x:c r="F34" s="85" t="str">
        <x:v>Scipio Technologies</x:v>
      </x:c>
      <x:c r="G34" s="85" t="str">
        <x:v>https://scipiotech.com/support/</x:v>
      </x:c>
      <x:c r="H34" s="85" t="str">
        <x:v>Evidence-backed update</x:v>
      </x:c>
    </x:row>
    <x:row r="35">
      <x:c r="A35" s="85" t="str">
        <x:v>2026-09-03</x:v>
      </x:c>
      <x:c r="B35" s="85" t="str">
        <x:v>TNDC-038</x:v>
      </x:c>
      <x:c r="C35" s="85" t="str">
        <x:v>UPDATE</x:v>
      </x:c>
      <x:c r="D35" s="85" t="str">
        <x:v>operators</x:v>
      </x:c>
      <x:c r="E35" s="85" t="str">
        <x:v>Peace Communications (Formerly Nexus Group)</x:v>
      </x:c>
      <x:c r="F35" s="85" t="str">
        <x:v>Nexus Group | Peace Communications | Scipio Technologies</x:v>
      </x:c>
      <x:c r="G35" s="85" t="str">
        <x:v>https://scipiotech.com/support/</x:v>
      </x:c>
      <x:c r="H35" s="85" t="str">
        <x:v>Evidence-backed update</x:v>
      </x:c>
    </x:row>
    <x:row r="36">
      <x:c r="A36" s="85" t="str">
        <x:v>2026-09-03</x:v>
      </x:c>
      <x:c r="B36" s="85" t="str">
        <x:v>TNDC-038</x:v>
      </x:c>
      <x:c r="C36" s="85" t="str">
        <x:v>UPDATE</x:v>
      </x:c>
      <x:c r="D36" s="85" t="str">
        <x:v>county</x:v>
      </x:c>
      <x:c r="E36" s="85"/>
      <x:c r="F36" s="85" t="str">
        <x:v>Davidson</x:v>
      </x:c>
      <x:c r="G36" s="85" t="str">
        <x:v>https://scipiotech.com/support/</x:v>
      </x:c>
      <x:c r="H36" s="85" t="str">
        <x:v>Evidence-backed update</x:v>
      </x:c>
    </x:row>
    <x:row r="37">
      <x:c r="A37" s="85" t="str">
        <x:v>2026-09-03</x:v>
      </x:c>
      <x:c r="B37" s="85" t="str">
        <x:v>TNDC-039</x:v>
      </x:c>
      <x:c r="C37" s="85" t="str">
        <x:v>UPDATE</x:v>
      </x:c>
      <x:c r="D37" s="85" t="str">
        <x:v>address</x:v>
      </x:c>
      <x:c r="E37" s="85"/>
      <x:c r="F37" s="85" t="str">
        <x:v>1000 17th Ave N</x:v>
      </x:c>
      <x:c r="G37" s="85" t="str">
        <x:v>https://www.fisk.edu/quantumleap/</x:v>
      </x:c>
      <x:c r="H37" s="85" t="str">
        <x:v>Evidence-backed update</x:v>
      </x:c>
    </x:row>
    <x:row r="38">
      <x:c r="A38" s="85" t="str">
        <x:v>2026-09-03</x:v>
      </x:c>
      <x:c r="B38" s="85" t="str">
        <x:v>TNDC-040</x:v>
      </x:c>
      <x:c r="C38" s="85" t="str">
        <x:v>UPDATE</x:v>
      </x:c>
      <x:c r="D38" s="85" t="str">
        <x:v>address</x:v>
      </x:c>
      <x:c r="E38" s="85"/>
      <x:c r="F38" s="85" t="str">
        <x:v>2902 Brick Church Pike</x:v>
      </x:c>
      <x:c r="G38" s="85" t="str">
        <x:v>https://www.radius-dc.com/newsroom-and-events/radiusdc-breaks-ground-on-largest-data-center-in-nashville</x:v>
      </x:c>
      <x:c r="H38" s="85" t="str">
        <x:v>Evidence-backed update</x:v>
      </x:c>
    </x:row>
    <x:row r="39">
      <x:c r="A39" s="85" t="str">
        <x:v>2026-09-03</x:v>
      </x:c>
      <x:c r="B39" s="85" t="str">
        <x:v>TNDC-040</x:v>
      </x:c>
      <x:c r="C39" s="85" t="str">
        <x:v>UPDATE</x:v>
      </x:c>
      <x:c r="D39" s="85" t="str">
        <x:v>postal_code</x:v>
      </x:c>
      <x:c r="E39" s="85"/>
      <x:c r="F39" s="85" t="str">
        <x:v>37207</x:v>
      </x:c>
      <x:c r="G39" s="85" t="str">
        <x:v>https://www.radius-dc.com/newsroom-and-events/radiusdc-breaks-ground-on-largest-data-center-in-nashville</x:v>
      </x:c>
      <x:c r="H39" s="85" t="str">
        <x:v>Evidence-backed update</x:v>
      </x:c>
    </x:row>
    <x:row r="40">
      <x:c r="A40" s="85" t="str">
        <x:v>2026-09-03</x:v>
      </x:c>
      <x:c r="B40" s="85" t="str">
        <x:v>TNDC-041</x:v>
      </x:c>
      <x:c r="C40" s="85" t="str">
        <x:v>UPDATE</x:v>
      </x:c>
      <x:c r="D40" s="85" t="str">
        <x:v>county</x:v>
      </x:c>
      <x:c r="E40" s="85"/>
      <x:c r="F40" s="85" t="str">
        <x:v>Davidson</x:v>
      </x:c>
      <x:c r="G40" s="85" t="str">
        <x:v>https://www.datacenterjournal.com/data-centers/tennessee/hendersonville/xo-nashville/</x:v>
      </x:c>
      <x:c r="H40" s="85" t="str">
        <x:v>Evidence-backed update</x:v>
      </x:c>
    </x:row>
    <x:row r="41">
      <x:c r="A41" s="85" t="str">
        <x:v>2026-09-03</x:v>
      </x:c>
      <x:c r="B41" s="85" t="str">
        <x:v>TNDC-041</x:v>
      </x:c>
      <x:c r="C41" s="85" t="str">
        <x:v>UPDATE</x:v>
      </x:c>
      <x:c r="D41" s="85" t="str">
        <x:v>operators</x:v>
      </x:c>
      <x:c r="E41" s="85" t="str">
        <x:v>XO</x:v>
      </x:c>
      <x:c r="F41" s="85" t="str">
        <x:v>XO | Verizon</x:v>
      </x:c>
      <x:c r="G41" s="85" t="str">
        <x:v>https://www.datacenterjournal.com/data-centers/tennessee/hendersonville/xo-nashville/</x:v>
      </x:c>
      <x:c r="H41" s="85" t="str">
        <x:v>Evidence-backed update</x:v>
      </x:c>
    </x:row>
    <x:row r="42">
      <x:c r="A42" s="85" t="str">
        <x:v>2026-09-03</x:v>
      </x:c>
      <x:c r="B42" s="85" t="str">
        <x:v>TNDC-042</x:v>
      </x:c>
      <x:c r="C42" s="85" t="str">
        <x:v>UPDATE</x:v>
      </x:c>
      <x:c r="D42" s="85" t="str">
        <x:v>operator</x:v>
      </x:c>
      <x:c r="E42" s="85" t="str">
        <x:v>Zayo Group</x:v>
      </x:c>
      <x:c r="F42" s="85" t="str">
        <x:v>DataBank</x:v>
      </x:c>
      <x:c r="G42" s="85" t="str">
        <x:v>https://www.datacentermap.com/usa/tennessee/nashville/zcolo-209-10th-ave-south/</x:v>
      </x:c>
      <x:c r="H42" s="85" t="str">
        <x:v>Evidence-backed update</x:v>
      </x:c>
    </x:row>
    <x:row r="43">
      <x:c r="A43" s="85" t="str">
        <x:v>2026-09-03</x:v>
      </x:c>
      <x:c r="B43" s="85" t="str">
        <x:v>TNDC-042</x:v>
      </x:c>
      <x:c r="C43" s="85" t="str">
        <x:v>UPDATE</x:v>
      </x:c>
      <x:c r="D43" s="85" t="str">
        <x:v>operators</x:v>
      </x:c>
      <x:c r="E43" s="85" t="str">
        <x:v>Zayo Group</x:v>
      </x:c>
      <x:c r="F43" s="85" t="str">
        <x:v>Zayo Group | DataBank</x:v>
      </x:c>
      <x:c r="G43" s="85" t="str">
        <x:v>https://www.datacentermap.com/usa/tennessee/nashville/zcolo-209-10th-ave-south/</x:v>
      </x:c>
      <x:c r="H43" s="85" t="str">
        <x:v>Evidence-backed update</x:v>
      </x:c>
    </x:row>
    <x:row r="44">
      <x:c r="A44" s="85" t="str">
        <x:v>2026-09-03</x:v>
      </x:c>
      <x:c r="B44" s="85" t="str">
        <x:v>TNDC-042</x:v>
      </x:c>
      <x:c r="C44" s="85" t="str">
        <x:v>UPDATE</x:v>
      </x:c>
      <x:c r="D44" s="85" t="str">
        <x:v>county</x:v>
      </x:c>
      <x:c r="E44" s="85"/>
      <x:c r="F44" s="85" t="str">
        <x:v>Davidson</x:v>
      </x:c>
      <x:c r="G44" s="85" t="str">
        <x:v>https://www.datacentermap.com/usa/tennessee/nashville/zcolo-209-10th-ave-south/</x:v>
      </x:c>
      <x:c r="H44" s="85" t="str">
        <x:v>Evidence-backed update</x:v>
      </x:c>
    </x:row>
    <x:row r="45">
      <x:c r="A45" t="str">
        <x:v>2026-09-03</x:v>
      </x:c>
      <x:c r="B45" t="str">
        <x:v>TNCAND-001</x:v>
      </x:c>
      <x:c r="C45" t="str">
        <x:v>UPDATE</x:v>
      </x:c>
      <x:c r="D45" t="str">
        <x:v>candidate location</x:v>
      </x:c>
      <x:c r="E45"/>
      <x:c r="F45" t="str">
        <x:v>36.572690, -87.342300</x:v>
      </x:c>
      <x:c r="G45" t="str">
        <x:v>FracTracker/Data Center Watch ArcGIS OBJECTID 5239</x:v>
      </x:c>
      <x:c r="H45" t="str">
        <x:v>Add source-reported low-confidence candidate coordinate; preserve candidate-only status.</x:v>
      </x:c>
    </x:row>
    <x:row r="46">
      <x:c r="A46" t="str">
        <x:v>2026-09-03</x:v>
      </x:c>
      <x:c r="B46" t="str">
        <x:v>TNCAND-002</x:v>
      </x:c>
      <x:c r="C46" t="str">
        <x:v>UPDATE</x:v>
      </x:c>
      <x:c r="D46" t="str">
        <x:v>candidate site identification</x:v>
      </x:c>
      <x:c r="E46"/>
      <x:c r="F46" t="str">
        <x:v>Renovare Rd / Development Area 5 / Parcel 021-002.04</x:v>
      </x:c>
      <x:c r="G46" t="str">
        <x:v>Oak Ridge EDI development map + Oak Ridge parcel/rezoning records</x:v>
      </x:c>
      <x:c r="H46" t="str">
        <x:v>Narrow candidate to a defensible parcel/site area while leaving lat/lon null until a verified point is available.</x:v>
      </x:c>
    </x:row>
    <x:row r="47">
      <x:c r="A47" t="str">
        <x:v>2026-09-03</x:v>
      </x:c>
      <x:c r="B47" t="str">
        <x:v>TNCAND-003</x:v>
      </x:c>
      <x:c r="C47" t="str">
        <x:v>UPDATE</x:v>
      </x:c>
      <x:c r="D47" t="str">
        <x:v>candidate location</x:v>
      </x:c>
      <x:c r="E47"/>
      <x:c r="F47" t="str">
        <x:v>35.923380, -84.141330</x:v>
      </x:c>
      <x:c r="G47" t="str">
        <x:v>MyEListing Corridor Park Lots 21 &amp; 23 listing</x:v>
      </x:c>
      <x:c r="H47" t="str">
        <x:v>Add listing/site-level coordinate for TVA-certified data-center site.</x:v>
      </x:c>
    </x:row>
    <x:row r="48">
      <x:c r="A48" t="str">
        <x:v>2026-09-03</x:v>
      </x:c>
      <x:c r="B48" t="str">
        <x:v>TNCAND-004</x:v>
      </x:c>
      <x:c r="C48" t="str">
        <x:v>UPDATE</x:v>
      </x:c>
      <x:c r="D48" t="str">
        <x:v>candidate location</x:v>
      </x:c>
      <x:c r="E48"/>
      <x:c r="F48" t="str">
        <x:v>35.671471, -88.764892</x:v>
      </x:c>
      <x:c r="G48" t="str">
        <x:v>WTIA Tiger Jones Technology Park site specification</x:v>
      </x:c>
      <x:c r="H48" t="str">
        <x:v>Add source-published site coordinate and street address.</x:v>
      </x:c>
    </x:row>
    <x:row r="49">
      <x:c r="A49" s="123" t="str">
        <x:v>2026-09-03</x:v>
      </x:c>
      <x:c r="B49" s="85" t="str">
        <x:v>TNDC-046</x:v>
      </x:c>
      <x:c r="C49" s="85" t="str">
        <x:v>ADD</x:v>
      </x:c>
      <x:c r="D49" s="85" t="str">
        <x:v>record</x:v>
      </x:c>
      <x:c r="E49" s="85"/>
      <x:c r="F49" s="85" t="str">
        <x:v>LCUB Data Center; operational; Lenoir City</x:v>
      </x:c>
      <x:c r="G49" s="85" t="str">
        <x:v>https://www.lcub.com/data-center/ | https://www.peeringdb.com/fac/17123 | https://www.datacentermap.com/usa/tennessee/lenoir-city/</x:v>
      </x:c>
      <x:c r="H49" s="85" t="str">
        <x:v>Add newly verified Tennessee facility while preserving every supporting URL.</x:v>
      </x:c>
    </x:row>
    <x:row r="50">
      <x:c r="A50" s="123" t="str">
        <x:v>2026-09-03</x:v>
      </x:c>
      <x:c r="B50" s="85" t="str">
        <x:v>TNDC-047</x:v>
      </x:c>
      <x:c r="C50" s="85" t="str">
        <x:v>ADD</x:v>
      </x:c>
      <x:c r="D50" s="85" t="str">
        <x:v>record</x:v>
      </x:c>
      <x:c r="E50" s="85"/>
      <x:c r="F50" s="85" t="str">
        <x:v>TenHats Knoxville Data Center; operational; Knoxville</x:v>
      </x:c>
      <x:c r="G50" s="85" t="str">
        <x:v>https://tenhats.com/data-center/ | https://tenhats.com/wp-content/uploads/2024/08/TH_DC-Customer-Rules-and-Responsibilities_2024.pdf | https://www.datacentermap.com/usa/tennessee/knoxville/the-fort/ | https://commission.knoxcountytn.gov/forums/topic/data-center-moratorium/</x:v>
      </x:c>
      <x:c r="H50" s="85" t="str">
        <x:v>Add newly verified Tennessee facility while preserving every supporting URL.</x:v>
      </x:c>
    </x:row>
    <x:row r="51">
      <x:c r="A51" s="123" t="str">
        <x:v>2026-09-03</x:v>
      </x:c>
      <x:c r="B51" s="85" t="str">
        <x:v>TNDC-048</x:v>
      </x:c>
      <x:c r="C51" s="85" t="str">
        <x:v>ADD</x:v>
      </x:c>
      <x:c r="D51" s="85" t="str">
        <x:v>record</x:v>
      </x:c>
      <x:c r="E51" s="85"/>
      <x:c r="F51" s="85" t="str">
        <x:v>Infinity Data Center; operational; Knoxville</x:v>
      </x:c>
      <x:c r="G51" s="85" t="str">
        <x:v>https://www.infinitydatacenter.com/ | https://www.infinitydatacenter.com/about-infinity-data-center.php | https://www.datacentermap.com/usa/tennessee/knoxville/infinity-data-center/ecosystem/ | https://www.datacenterdynamics.com/en/news/data-center-unit-for-sale-in-knoxville-tennessee/ | https://commission.knoxcountytn.gov/forums/topic/data-center-moratorium/</x:v>
      </x:c>
      <x:c r="H51" s="85" t="str">
        <x:v>Add newly verified Tennessee facility while preserving every supporting URL.</x:v>
      </x:c>
    </x:row>
    <x:row r="52">
      <x:c r="A52" s="123" t="str">
        <x:v>2026-09-03</x:v>
      </x:c>
      <x:c r="B52" s="85" t="str">
        <x:v>TNDC-049</x:v>
      </x:c>
      <x:c r="C52" s="85" t="str">
        <x:v>ADD</x:v>
      </x:c>
      <x:c r="D52" s="85" t="str">
        <x:v>record</x:v>
      </x:c>
      <x:c r="E52" s="85"/>
      <x:c r="F52" s="85" t="str">
        <x:v>Windstream / Uniti Knoxville; operational; Knoxville</x:v>
      </x:c>
      <x:c r="G52" s="85" t="str">
        <x:v>https://commission.knoxcountytn.gov/forums/topic/data-center-moratorium/ | https://www.windstreamwholesale.com/wp-content/uploads/2024/05/WW-nationwide-network-map.pdf | https://www.datacentermap.com/usa/tennessee/knoxville/</x:v>
      </x:c>
      <x:c r="H52" s="85" t="str">
        <x:v>Add newly verified Tennessee facility while preserving every supporting URL.</x:v>
      </x:c>
    </x:row>
    <x:row r="53">
      <x:c r="A53" s="123" t="str">
        <x:v>2026-09-03</x:v>
      </x:c>
      <x:c r="B53" s="85" t="str">
        <x:v>TNDC-050</x:v>
      </x:c>
      <x:c r="C53" s="85" t="str">
        <x:v>ADD</x:v>
      </x:c>
      <x:c r="D53" s="85" t="str">
        <x:v>record</x:v>
      </x:c>
      <x:c r="E53" s="85"/>
      <x:c r="F53" s="85" t="str">
        <x:v>Aeneas Data Center; operational; Jackson</x:v>
      </x:c>
      <x:c r="G53" s="85" t="str">
        <x:v>https://aeneas.com/contact/ | https://www.datacentermap.com/usa/tennessee/jackson/ | https://tnecd.com/wp-content/uploads/2018/10/business-services.pdf</x:v>
      </x:c>
      <x:c r="H53" s="85" t="str">
        <x:v>Add newly verified Tennessee facility while preserving every supporting URL.</x:v>
      </x:c>
    </x:row>
    <x:row r="54">
      <x:c r="A54" s="123" t="str">
        <x:v>2026-09-03</x:v>
      </x:c>
      <x:c r="B54" s="85" t="str">
        <x:v>TNDC-051</x:v>
      </x:c>
      <x:c r="C54" s="85" t="str">
        <x:v>ADD</x:v>
      </x:c>
      <x:c r="D54" s="85" t="str">
        <x:v>record</x:v>
      </x:c>
      <x:c r="E54" s="85"/>
      <x:c r="F54" s="85" t="str">
        <x:v>MCA Chattanooga Data Center; operational; Chattanooga</x:v>
      </x:c>
      <x:c r="G54" s="85" t="str">
        <x:v>https://tfpdev.wehco.com/news/2026/aug/23/where-are-data-centers-in-chattanooga-region/ | https://www.datacentermap.com/usa/tennessee/chattanooga/mca-corporate/ | https://tnecd.com/wp-content/uploads/2018/10/business-services.pdf</x:v>
      </x:c>
      <x:c r="H54" s="85" t="str">
        <x:v>Add newly verified Tennessee facility while preserving every supporting URL.</x:v>
      </x:c>
    </x:row>
    <x:row r="55">
      <x:c r="A55" s="123" t="str">
        <x:v>2026-09-03</x:v>
      </x:c>
      <x:c r="B55" s="85" t="str">
        <x:v>TNDC-052</x:v>
      </x:c>
      <x:c r="C55" s="85" t="str">
        <x:v>ADD</x:v>
      </x:c>
      <x:c r="D55" s="85" t="str">
        <x:v>record</x:v>
      </x:c>
      <x:c r="E55" s="85"/>
      <x:c r="F55" s="85" t="str">
        <x:v>Data Suites Murfreesboro; operational; Murfreesboro</x:v>
      </x:c>
      <x:c r="G55" s="85" t="str">
        <x:v>https://mydatasuites.com/ | https://mydatasuites.com/wp-content/uploads/2018/03/Data-Sheets-Fact-Sheet.pdf | https://mydatasuites.com/data-center-whitespace-lease-nashville/ | https://www.datacentermap.com/usa/tennessee/nashville/</x:v>
      </x:c>
      <x:c r="H55" s="85" t="str">
        <x:v>Add newly verified Tennessee facility while preserving every supporting URL.</x:v>
      </x:c>
    </x:row>
    <x:row r="56">
      <x:c r="A56" s="123" t="str">
        <x:v>2026-09-03</x:v>
      </x:c>
      <x:c r="B56" s="85" t="str">
        <x:v>TNDC-053</x:v>
      </x:c>
      <x:c r="C56" s="85" t="str">
        <x:v>ADD</x:v>
      </x:c>
      <x:c r="D56" s="85" t="str">
        <x:v>record</x:v>
      </x:c>
      <x:c r="E56" s="85"/>
      <x:c r="F56" s="85" t="str">
        <x:v>Windstream / Uniti Brentwood; operational; Brentwood</x:v>
      </x:c>
      <x:c r="G56" s="85" t="str">
        <x:v>https://www.windstreamwholesale.com/wp-content/uploads/2024/05/WW-nationwide-network-map.pdf | https://www.datacenters.com/providers/windstream/locations/united-states | https://www.newschannel5.com/news/how-big-are-middle-tennessees-data-centers-a-look-at-facilities-already-operating</x:v>
      </x:c>
      <x:c r="H56" s="85" t="str">
        <x:v>Add newly verified Tennessee facility while preserving every supporting URL.</x:v>
      </x:c>
    </x:row>
    <x:row r="57">
      <x:c r="A57" s="123" t="str">
        <x:v>2026-09-03</x:v>
      </x:c>
      <x:c r="B57" s="85" t="str">
        <x:v>TNDC-054</x:v>
      </x:c>
      <x:c r="C57" s="85" t="str">
        <x:v>ADD</x:v>
      </x:c>
      <x:c r="D57" s="85" t="str">
        <x:v>record</x:v>
      </x:c>
      <x:c r="E57" s="85"/>
      <x:c r="F57" s="85" t="str">
        <x:v>Lumen Nashville 2; operational; Nashville</x:v>
      </x:c>
      <x:c r="G57" s="85" t="str">
        <x:v>https://www.datacentermap.com/usa/tennessee/nashville/ | https://tnecd.com/wp-content/uploads/2018/10/business-services.pdf | https://www.newschannel5.com/news/how-big-are-middle-tennessees-data-centers-a-look-at-facilities-already-operating | https://www.lumen.com/en-us/services/colocation.html</x:v>
      </x:c>
      <x:c r="H57" s="85" t="str">
        <x:v>Add newly verified Tennessee facility while preserving every supporting URL.</x:v>
      </x:c>
    </x:row>
    <x:row r="58">
      <x:c r="A58" s="123" t="str">
        <x:v>2026-09-03</x:v>
      </x:c>
      <x:c r="B58" s="85" t="str">
        <x:v>TNDC-055</x:v>
      </x:c>
      <x:c r="C58" s="85" t="str">
        <x:v>ADD</x:v>
      </x:c>
      <x:c r="D58" s="85" t="str">
        <x:v>record</x:v>
      </x:c>
      <x:c r="E58" s="85"/>
      <x:c r="F58" s="85" t="str">
        <x:v>Lumen Nashville 4 / Berry Hill; operational; Nashville</x:v>
      </x:c>
      <x:c r="G58" s="85" t="str">
        <x:v>https://www.datacentermap.com/usa/tennessee/nashville/ | https://www.datacenters.com/lumen-berry-hill | https://www.newschannel5.com/news/how-big-are-middle-tennessees-data-centers-a-look-at-facilities-already-operating | https://tnecd.com/wp-content/uploads/2018/10/business-services.pdf</x:v>
      </x:c>
      <x:c r="H58" s="85" t="str">
        <x:v>Add newly verified Tennessee facility while preserving every supporting URL.</x:v>
      </x:c>
    </x:row>
    <x:row r="59">
      <x:c r="A59" s="123" t="str">
        <x:v>2026-09-03</x:v>
      </x:c>
      <x:c r="B59" s="85" t="str">
        <x:v>TNDC-056</x:v>
      </x:c>
      <x:c r="C59" s="85" t="str">
        <x:v>ADD</x:v>
      </x:c>
      <x:c r="D59" s="85" t="str">
        <x:v>record</x:v>
      </x:c>
      <x:c r="E59" s="85"/>
      <x:c r="F59" s="85" t="str">
        <x:v>Saragon Nashville; operational; Nashville</x:v>
      </x:c>
      <x:c r="G59" s="85" t="str">
        <x:v>https://www.datacentermap.com/usa/tennessee/nashville/cogent-data-center-nashville/ | https://www.nasdaq.com/press-release/saragon-launches-new-us-data-center-company-purpose-built-ai-inference-and-edge | https://www.newschannel5.com/news/how-big-are-middle-tennessees-data-centers-a-look-at-facilities-already-operating</x:v>
      </x:c>
      <x:c r="H59" s="85" t="str">
        <x:v>Add newly verified Tennessee facility while preserving every supporting URL.</x:v>
      </x:c>
    </x:row>
    <x:row r="60">
      <x:c r="A60" s="123" t="str">
        <x:v>2026-09-03</x:v>
      </x:c>
      <x:c r="B60" s="85" t="str">
        <x:v>TNDC-057</x:v>
      </x:c>
      <x:c r="C60" s="85" t="str">
        <x:v>ADD</x:v>
      </x:c>
      <x:c r="D60" s="85" t="str">
        <x:v>record</x:v>
      </x:c>
      <x:c r="E60" s="85"/>
      <x:c r="F60" s="85" t="str">
        <x:v>WorldSpice Data Center; operational; Memphis</x:v>
      </x:c>
      <x:c r="G60" s="85" t="str">
        <x:v>https://www.worldspice.net/contact-memphis-isp.html | https://www.datacentermap.com/usa/tennessee/memphis/ | https://tnecd.com/wp-content/uploads/2018/10/business-services.pdf | https://memphistn.gov/wp-content/uploads/2025/01/Planning-Zoning-Committee-Documents-10.01.2024_Part1.pdf</x:v>
      </x:c>
      <x:c r="H60" s="85" t="str">
        <x:v>Add newly verified Tennessee facility while preserving every supporting URL.</x:v>
      </x:c>
    </x:row>
    <x:row r="61">
      <x:c r="A61" s="123" t="str">
        <x:v>2026-09-03</x:v>
      </x:c>
      <x:c r="B61" s="85" t="str">
        <x:v>TNDC-058</x:v>
      </x:c>
      <x:c r="C61" s="85" t="str">
        <x:v>ADD</x:v>
      </x:c>
      <x:c r="D61" s="85" t="str">
        <x:v>record</x:v>
      </x:c>
      <x:c r="E61" s="85"/>
      <x:c r="F61" s="85" t="str">
        <x:v>Connect Data Centers Memphis; operational; Memphis</x:v>
      </x:c>
      <x:c r="G61" s="85" t="str">
        <x:v>https://registry.deploy.report/datacenters/facilities/connect-data-centers-memphis-tn | https://baxtel.com/data-center/connect-data-centers-memphis-tn | https://www.datacentermap.com/usa/tennessee/memphis/connect-memphis/ | https://www.datacenterdynamics.com/en/news/oppidan-files-for-99000-square-foot-data-center-in-memphis-tennessee/</x:v>
      </x:c>
      <x:c r="H61" s="85" t="str">
        <x:v>Add newly verified Tennessee facility while preserving every supporting URL.</x:v>
      </x:c>
    </x:row>
    <x:row r="62">
      <x:c r="A62" s="123" t="str">
        <x:v>2026-09-03</x:v>
      </x:c>
      <x:c r="B62" s="85" t="str">
        <x:v>TNDC-059</x:v>
      </x:c>
      <x:c r="C62" s="85" t="str">
        <x:v>ADD</x:v>
      </x:c>
      <x:c r="D62" s="85" t="str">
        <x:v>record</x:v>
      </x:c>
      <x:c r="E62" s="85"/>
      <x:c r="F62" s="85" t="str">
        <x:v>5C MEM01; under_construction; Memphis</x:v>
      </x:c>
      <x:c r="G62" s="85" t="str">
        <x:v>https://5c.ai/datacenters | https://5c.ai/ | https://5c.ai/news/5c-secures-more-than-usd-1-4-billion-to-power-north-americas-ai-infrastructure | https://www.assessormelvinburgess.com/propertyDetails?IR=true&amp;parcelid=073101++00119 | https://www.shelbytnhealth.com/DocumentCenter/View/7588 | https://www.datacenterdynamics.com/en/news/5c-plots-data-center-at-former-freds-site-in-memphis-tennessee/ | https://www.datacentermap.com/usa/tennessee/memphis/5cdc-memphis-mem01/ | https://baxtel.com/data-center/5cdc-memphis-tn | https://registry.deploy.report/datacenters/facilities/5c-memphis-getwell-road-tn</x:v>
      </x:c>
      <x:c r="H62" s="85" t="str">
        <x:v>Add newly verified Tennessee facility while preserving every supporting URL.</x:v>
      </x:c>
    </x:row>
    <x:row r="63">
      <x:c r="A63" s="123" t="str">
        <x:v>2026-09-03</x:v>
      </x:c>
      <x:c r="B63" s="85" t="str">
        <x:v>TNDC-060</x:v>
      </x:c>
      <x:c r="C63" s="85" t="str">
        <x:v>ADD</x:v>
      </x:c>
      <x:c r="D63" s="85" t="str">
        <x:v>record</x:v>
      </x:c>
      <x:c r="E63" s="85"/>
      <x:c r="F63" s="85" t="str">
        <x:v>The STEM Practice Memphis; proposed; Memphis</x:v>
      </x:c>
      <x:c r="G63" s="85" t="str">
        <x:v>https://www.datacenterdynamics.com/en/news/data-center-acquired-in-memphis-set-to-serve-oracle-cloud-partner/ | https://www.datacentermap.com/usa/tennessee/memphis/the-stem-practice-memphis/ | https://dailymemphian.com/subscriber/section/business/article/58881/sentrynet-building-to-become-ai-data-center</x:v>
      </x:c>
      <x:c r="H63" s="85" t="str">
        <x:v>Add newly verified Tennessee facility while preserving every supporting URL.</x:v>
      </x:c>
    </x:row>
    <x:row r="64">
      <x:c r="A64" s="123" t="str">
        <x:v>2026-09-03</x:v>
      </x:c>
      <x:c r="B64" s="85" t="str">
        <x:v>TNDC-061</x:v>
      </x:c>
      <x:c r="C64" s="85" t="str">
        <x:v>ADD</x:v>
      </x:c>
      <x:c r="D64" s="85" t="str">
        <x:v>record</x:v>
      </x:c>
      <x:c r="E64" s="85"/>
      <x:c r="F64" s="85" t="str">
        <x:v>Humboldt / Gibson County Crypto Mining Facility; under_construction; Humboldt</x:v>
      </x:c>
      <x:c r="G64" s="85" t="str">
        <x:v>https://humboldtchamber.com/local-officials-release-details-on-humboldt-data-center/ | https://registry.deploy.report/datacenters/facilities/humboldt-gibson-county-crypto-mine-tn</x:v>
      </x:c>
      <x:c r="H64" s="85" t="str">
        <x:v>Add newly verified Tennessee facility while preserving every supporting URL.</x:v>
      </x:c>
    </x:row>
    <x:row r="65">
      <x:c r="A65" s="123" t="str">
        <x:v>2026-09-03</x:v>
      </x:c>
      <x:c r="B65" s="85" t="str">
        <x:v>TNCAND-005</x:v>
      </x:c>
      <x:c r="C65" s="85" t="str">
        <x:v>ADD</x:v>
      </x:c>
      <x:c r="D65" s="85" t="str">
        <x:v>candidate record</x:v>
      </x:c>
      <x:c r="E65" s="85"/>
      <x:c r="F65" s="85" t="str">
        <x:v>GRIID Jackson 60 MW Bitcoin Mining Project; confidence=medium</x:v>
      </x:c>
      <x:c r="G65" s="85" t="str">
        <x:v>https://www.globenewswire.com/news-release/2024/02/06/2824158/0/en/GRIID-Infrastructure-to-Add-60-MW-with-New-Bitcoin-Mining-Facility-in-Tennessee.html | https://www.prnewswire.com/news-releases/cleanspark-announces-agreement-to-acquire-griid-infrastructure-based-on-an-enterprise-value-of-155-million-and-expansion-plans-of-over-400-mw-in-tennessee-302184116.html | https://www.sec.gov/Archives/edgar/data/1830029/000119312524223759/d888816ddefm14a.htm</x:v>
      </x:c>
      <x:c r="H65" s="85" t="str">
        <x:v>Retain potentially relevant site without forcing it into the Master facility count.</x:v>
      </x:c>
    </x:row>
    <x:row r="66">
      <x:c r="A66" s="123" t="str">
        <x:v>2026-09-03</x:v>
      </x:c>
      <x:c r="B66" s="85" t="str">
        <x:v>TNCAND-006</x:v>
      </x:c>
      <x:c r="C66" s="85" t="str">
        <x:v>ADD</x:v>
      </x:c>
      <x:c r="D66" s="85" t="str">
        <x:v>candidate record</x:v>
      </x:c>
      <x:c r="E66" s="85"/>
      <x:c r="F66" s="85" t="str">
        <x:v>Atmosphere Nashville 120 MW Campus; confidence=medium</x:v>
      </x:c>
      <x:c r="G66" s="85" t="str">
        <x:v>https://atmosphere-dc.com/data-centers/nashville-tn/ | https://www.datacenterdynamics.com/en/news/atmosphere-dc-secures-investment-from-agc-equity-partners/</x:v>
      </x:c>
      <x:c r="H66" s="85" t="str">
        <x:v>Retain potentially relevant site without forcing it into the Master facility count.</x:v>
      </x:c>
    </x:row>
    <x:row r="67">
      <x:c r="A67" s="123" t="str">
        <x:v>2026-09-03</x:v>
      </x:c>
      <x:c r="B67" s="85" t="str">
        <x:v>TNCAND-007</x:v>
      </x:c>
      <x:c r="C67" s="85" t="str">
        <x:v>ADD</x:v>
      </x:c>
      <x:c r="D67" s="85" t="str">
        <x:v>candidate record</x:v>
      </x:c>
      <x:c r="E67" s="85"/>
      <x:c r="F67" s="85" t="str">
        <x:v>Tennessee State Data Center South; confidence=high</x:v>
      </x:c>
      <x:c r="G67" s="85" t="str">
        <x:v>https://www.tn.gov/environment/policy/data-centers.html | https://www.tn.gov/cybersecurity/state-government-cybersecurity.html | https://www.tn.gov/content/dam/tn/tenncare/documents2/Deloitte.pdf | https://www.tn.gov/finance/sts.html</x:v>
      </x:c>
      <x:c r="H67" s="85" t="str">
        <x:v>Retain potentially relevant site without forcing it into the Master facility count.</x:v>
      </x:c>
    </x:row>
    <x:row r="68">
      <x:c r="A68" s="123" t="str">
        <x:v>2026-09-03</x:v>
      </x:c>
      <x:c r="B68" s="85" t="str">
        <x:v>TNCAND-008</x:v>
      </x:c>
      <x:c r="C68" s="85" t="str">
        <x:v>ADD</x:v>
      </x:c>
      <x:c r="D68" s="85" t="str">
        <x:v>candidate record</x:v>
      </x:c>
      <x:c r="E68" s="85"/>
      <x:c r="F68" s="85" t="str">
        <x:v>Tennessee State Data Center North; confidence=high</x:v>
      </x:c>
      <x:c r="G68" s="85" t="str">
        <x:v>https://www.tn.gov/environment/policy/data-centers.html | https://www.tn.gov/cybersecurity/state-government-cybersecurity.html | https://www.tn.gov/content/dam/tn/tenncare/documents2/Deloitte.pdf | https://www.tn.gov/finance/sts.html</x:v>
      </x:c>
      <x:c r="H68" s="85" t="str">
        <x:v>Retain potentially relevant site without forcing it into the Master facility count.</x:v>
      </x:c>
    </x:row>
    <x:row r="69">
      <x:c r="A69" s="123" t="str">
        <x:v>2026-09-03</x:v>
      </x:c>
      <x:c r="B69" s="85" t="str">
        <x:v>TNCAND-009</x:v>
      </x:c>
      <x:c r="C69" s="85" t="str">
        <x:v>ADD</x:v>
      </x:c>
      <x:c r="D69" s="85" t="str">
        <x:v>candidate record</x:v>
      </x:c>
      <x:c r="E69" s="85"/>
      <x:c r="F69" s="85" t="str">
        <x:v>Oak Ridge Leadership Computing Facility; confidence=high</x:v>
      </x:c>
      <x:c r="G69" s="85" t="str">
        <x:v>https://www.olcf.ornl.gov/contact-us/ | https://www.olcf.ornl.gov/2020/12/14/building-an-exascale-class-data-center/ | https://www.ornl.gov/directorate/ccsd</x:v>
      </x:c>
      <x:c r="H69" s="85" t="str">
        <x:v>Retain potentially relevant site without forcing it into the Master facility count.</x:v>
      </x:c>
    </x:row>
    <x:row r="70">
      <x:c r="A70" s="123" t="str">
        <x:v>2026-09-03</x:v>
      </x:c>
      <x:c r="B70" s="85" t="str">
        <x:v>TNCAND-010</x:v>
      </x:c>
      <x:c r="C70" s="85" t="str">
        <x:v>ADD</x:v>
      </x:c>
      <x:c r="D70" s="85" t="str">
        <x:v>candidate record</x:v>
      </x:c>
      <x:c r="E70" s="85"/>
      <x:c r="F70" s="85" t="str">
        <x:v>National Institute for Computational Sciences Facility; confidence=high</x:v>
      </x:c>
      <x:c r="G70" s="85" t="str">
        <x:v>https://nics.utk.edu/facilities/</x:v>
      </x:c>
      <x:c r="H70" s="85" t="str">
        <x:v>Retain potentially relevant site without forcing it into the Master facility count.</x:v>
      </x:c>
    </x:row>
    <x:row r="71">
      <x:c r="A71" s="123" t="str">
        <x:v>2026-09-03</x:v>
      </x:c>
      <x:c r="B71" s="85" t="str">
        <x:v>TNCAND-011</x:v>
      </x:c>
      <x:c r="C71" s="85" t="str">
        <x:v>ADD</x:v>
      </x:c>
      <x:c r="D71" s="85" t="str">
        <x:v>candidate record</x:v>
      </x:c>
      <x:c r="E71" s="85"/>
      <x:c r="F71" s="85" t="str">
        <x:v>Vanderbilt ACCRE Data Center Rooms; confidence=high</x:v>
      </x:c>
      <x:c r="G71" s="85" t="str">
        <x:v>https://www.vanderbilt.edu/accre/location/ | https://www.vanderbilt.edu/accre/technical-details/</x:v>
      </x:c>
      <x:c r="H71" s="85" t="str">
        <x:v>Retain potentially relevant site without forcing it into the Master facility count.</x:v>
      </x:c>
    </x:row>
    <x:row r="72">
      <x:c r="A72" s="123" t="str">
        <x:v>2026-09-03</x:v>
      </x:c>
      <x:c r="B72" s="85" t="str">
        <x:v>TNCAND-012</x:v>
      </x:c>
      <x:c r="C72" s="85" t="str">
        <x:v>ADD</x:v>
      </x:c>
      <x:c r="D72" s="85" t="str">
        <x:v>candidate record</x:v>
      </x:c>
      <x:c r="E72" s="85"/>
      <x:c r="F72" s="85" t="str">
        <x:v>Scipio Technologies NREP Listing; confidence=low</x:v>
      </x:c>
      <x:c r="G72" s="85" t="str">
        <x:v>https://www.datacentermap.com/usa/tennessee/nashville/ | https://scipiotech.com/support/</x:v>
      </x:c>
      <x:c r="H72" s="85" t="str">
        <x:v>Retain potentially relevant site without forcing it into the Master facility count.</x:v>
      </x:c>
    </x:row>
    <x:row r="73">
      <x:c r="A73" s="123" t="str">
        <x:v>2026-09-03</x:v>
      </x:c>
      <x:c r="B73" s="85" t="str">
        <x:v>TNCAND-013</x:v>
      </x:c>
      <x:c r="C73" s="85" t="str">
        <x:v>ADD</x:v>
      </x:c>
      <x:c r="D73" s="85" t="str">
        <x:v>candidate record</x:v>
      </x:c>
      <x:c r="E73" s="85"/>
      <x:c r="F73" s="85" t="str">
        <x:v>Airnet / Dataprise Chattanooga; confidence=medium</x:v>
      </x:c>
      <x:c r="G73" s="85" t="str">
        <x:v>https://www.dataprise.com/get-in-touch/location/chattanooga/ | https://www.datacentermap.com/usa/tennessee/chattanooga/ | https://tnecd.com/wp-content/uploads/2018/10/business-services.pdf</x:v>
      </x:c>
      <x:c r="H73" s="85" t="str">
        <x:v>Retain potentially relevant site without forcing it into the Master facility count.</x:v>
      </x:c>
    </x:row>
    <x:row r="74">
      <x:c r="A74" s="123" t="str">
        <x:v>2026-09-03</x:v>
      </x:c>
      <x:c r="B74" s="85" t="str">
        <x:v>TNCAND-014</x:v>
      </x:c>
      <x:c r="C74" s="85" t="str">
        <x:v>ADD</x:v>
      </x:c>
      <x:c r="D74" s="85" t="str">
        <x:v>candidate record</x:v>
      </x:c>
      <x:c r="E74" s="85"/>
      <x:c r="F74" s="85" t="str">
        <x:v>Windstream Nashville — 940 3rd Ave N; confidence=medium</x:v>
      </x:c>
      <x:c r="G74" s="85" t="str">
        <x:v>https://www.datacentermap.com/usa/tennessee/nashville/nuvox-nashville/ | https://tnecd.com/wp-content/uploads/2018/10/business-services.pdf | https://www.cityfeet.com/cont/listing/940-3rd-ave-n-nashville-tn-37201/cs39837774</x:v>
      </x:c>
      <x:c r="H74" s="85" t="str">
        <x:v>Retain potentially relevant site without forcing it into the Master facility count.</x:v>
      </x:c>
    </x:row>
    <x:row r="75">
      <x:c r="A75" s="123" t="str">
        <x:v>2026-09-03</x:v>
      </x:c>
      <x:c r="B75" s="85" t="str">
        <x:v>TNCAND-015</x:v>
      </x:c>
      <x:c r="C75" s="85" t="str">
        <x:v>ADD</x:v>
      </x:c>
      <x:c r="D75" s="85" t="str">
        <x:v>candidate record</x:v>
      </x:c>
      <x:c r="E75" s="85"/>
      <x:c r="F75" s="85" t="str">
        <x:v>Verizon / XO Memphis; confidence=medium</x:v>
      </x:c>
      <x:c r="G75" s="85" t="str">
        <x:v>https://www.datacentermap.com/usa/tennessee/memphis/ | https://tnecd.com/wp-content/uploads/2018/10/business-services.pdf | https://www.shelbycountytn.gov/Archive/ViewFile/Item/13459 | https://promos.telarus.com/promo_docs/Q1-2011-XO-Colocation-and-DIA-Promo-Sales-Summary.pdf</x:v>
      </x:c>
      <x:c r="H75" s="85" t="str">
        <x:v>Retain potentially relevant site without forcing it into the Master facility count.</x:v>
      </x:c>
    </x:row>
    <x:row r="76">
      <x:c r="A76" s="123" t="str">
        <x:v>2026-09-03</x:v>
      </x:c>
      <x:c r="B76" s="85" t="str">
        <x:v>TNCAND-016</x:v>
      </x:c>
      <x:c r="C76" s="85" t="str">
        <x:v>ADD</x:v>
      </x:c>
      <x:c r="D76" s="85" t="str">
        <x:v>candidate record</x:v>
      </x:c>
      <x:c r="E76" s="85"/>
      <x:c r="F76" s="85" t="str">
        <x:v>Lumen Memphis 2 / former tw telecom; confidence=medium</x:v>
      </x:c>
      <x:c r="G76" s="85" t="str">
        <x:v>https://tnecd.com/wp-content/uploads/2018/10/business-services.pdf | https://businessinternet.com/tennessee/memphis | https://baxtel.com/data-center/memphis</x:v>
      </x:c>
      <x:c r="H76" s="85" t="str">
        <x:v>Retain potentially relevant site without forcing it into the Master facility count.</x:v>
      </x:c>
    </x:row>
    <x:row r="77">
      <x:c r="A77" s="123" t="str">
        <x:v>2026-09-03</x:v>
      </x:c>
      <x:c r="B77" s="85" t="str">
        <x:v>TNDC-013</x:v>
      </x:c>
      <x:c r="C77" s="85" t="str">
        <x:v>UPDATE</x:v>
      </x:c>
      <x:c r="D77" s="85" t="str">
        <x:v>operators | square_feet | property_acres | verification_note</x:v>
      </x:c>
      <x:c r="E77" s="85"/>
      <x:c r="F77" s="85" t="str">
        <x:v>Consolidate Compass development history into the existing TierPoint Eddy Lane physical site.</x:v>
      </x:c>
      <x:c r="G77" s="85" t="str">
        <x:v>https://www.compassdatacenters.com/data-center-markets/ | https://www.compassdatacenters.com/news/compass-datacenters-completes-construction-of-first-data-center-facility-in-suburban-nashville/ | https://registry.deploy.report/datacenters/facilities/compass-nashville-franklin | https://baxtel.com/data-center/compass-franklin-i</x:v>
      </x:c>
      <x:c r="H77" s="85" t="str">
        <x:v>Integrate new verification evidence without changing facility ID.</x:v>
      </x:c>
    </x:row>
    <x:row r="78">
      <x:c r="A78" s="123" t="str">
        <x:v>2026-09-03</x:v>
      </x:c>
      <x:c r="B78" s="85" t="str">
        <x:v>TNDC-028</x:v>
      </x:c>
      <x:c r="C78" s="85" t="str">
        <x:v>UPDATE</x:v>
      </x:c>
      <x:c r="D78" s="85" t="str">
        <x:v>operators | capacity_mw | square_feet | property_acres | verification_note</x:v>
      </x:c>
      <x:c r="E78" s="85"/>
      <x:c r="F78" s="85" t="str">
        <x:v>Consolidate Sentinel history and published site metrics into the existing Expedient physical site.</x:v>
      </x:c>
      <x:c r="G78" s="85" t="str">
        <x:v>https://baxtel.com/data-center/sentinel-memphis-tn-1</x:v>
      </x:c>
      <x:c r="H78" s="85" t="str">
        <x:v>Integrate new verification evidence without changing facility ID.</x:v>
      </x:c>
    </x:row>
    <x:row r="79">
      <x:c r="A79" s="123" t="str">
        <x:v>2026-09-03</x:v>
      </x:c>
      <x:c r="B79" s="85" t="str">
        <x:v>TNDC-031</x:v>
      </x:c>
      <x:c r="C79" s="85" t="str">
        <x:v>UPDATE</x:v>
      </x:c>
      <x:c r="D79" s="85" t="str">
        <x:v>address | investment_usd | verification_note</x:v>
      </x:c>
      <x:c r="E79" s="85"/>
      <x:c r="F79" s="85" t="str">
        <x:v>Expand the normalized campus address and retain the disclosed building investment with scope caveat.</x:v>
      </x:c>
      <x:c r="G79" s="85" t="str">
        <x:v>https://www.bizjournals.com/memphis/news/2026/03/03/xai-colossus-2-campus-5414-tulane-building.html | https://memphistn.gov/wp-content/uploads/2025/03/Revised-Agenda-02-18-2025.pdf</x:v>
      </x:c>
      <x:c r="H79" s="85" t="str">
        <x:v>Integrate new verification evidence without changing facility ID.</x:v>
      </x:c>
    </x:row>
    <x:row r="80">
      <x:c r="A80" s="123" t="str">
        <x:v>2026-09-03</x:v>
      </x:c>
      <x:c r="B80" s="85" t="str">
        <x:v>TNDC-002</x:v>
      </x:c>
      <x:c r="C80" s="85" t="str">
        <x:v>UPDATE</x:v>
      </x:c>
      <x:c r="D80" s="85" t="str">
        <x:v>verification_note</x:v>
      </x:c>
      <x:c r="E80" s="85"/>
      <x:c r="F80" s="85" t="str">
        <x:v>Preserve the two public Crossville address listings without forcing an uncertain one-to-one assignment.</x:v>
      </x:c>
      <x:c r="G80" s="85" t="str">
        <x:v>https://www.datacentermap.com/usa/tennessee/crossville/</x:v>
      </x:c>
      <x:c r="H80" s="85" t="str">
        <x:v>Integrate new verification evidence without changing facility ID.</x:v>
      </x:c>
    </x:row>
    <x:row r="81">
      <x:c r="A81" s="123" t="str">
        <x:v>2026-09-03</x:v>
      </x:c>
      <x:c r="B81" s="85" t="str">
        <x:v>TNDC-009</x:v>
      </x:c>
      <x:c r="C81" s="85" t="str">
        <x:v>UPDATE</x:v>
      </x:c>
      <x:c r="D81" s="85" t="str">
        <x:v>verification_note</x:v>
      </x:c>
      <x:c r="E81" s="85"/>
      <x:c r="F81" s="85" t="str">
        <x:v>Preserve the two public Crossville address listings without forcing an uncertain one-to-one assignment.</x:v>
      </x:c>
      <x:c r="G81" s="85" t="str">
        <x:v>https://www.datacentermap.com/usa/tennessee/crossville/</x:v>
      </x:c>
      <x:c r="H81" s="85" t="str">
        <x:v>Integrate new verification evidence without changing facility ID.</x:v>
      </x:c>
    </x:row>
    <x:row r="82">
      <x:c r="A82" s="123" t="str">
        <x:v>2026-09-03</x:v>
      </x:c>
      <x:c r="B82" s="85" t="str">
        <x:v>TNDC-025</x:v>
      </x:c>
      <x:c r="C82" s="85" t="str">
        <x:v>REMOVE_DEDUP</x:v>
      </x:c>
      <x:c r="D82" s="85" t="str">
        <x:v>record</x:v>
      </x:c>
      <x:c r="E82" s="85" t="str">
        <x:v>Generic Colossus Master row</x:v>
      </x:c>
      <x:c r="F82" s="85" t="str">
        <x:v>Retained only in Raw_Aligned and Review_Pairs</x:v>
      </x:c>
      <x:c r="G82" s="85" t="str">
        <x:v>https://en.wikipedia.org/wiki/Colossus_(supercomputer) | https://www.cnbc.com/2025/07/16/musks-xai-permits-challenged-by-naacp-environmental-groups-memphis.html | https://www.datacenterdynamics.com/en/news/xai-doubles-number-of-onsite-gas-turbines-at-memphis-data-center-in-violation-of-permit-limits/ | https://www.governing.com/resilience/wastewater-will-cool-this-memphis-data-center | https://www.reuters.com/technology/artificial-intelligence/musk-says-xai-has-built-worlds-most-powerful-ai-training-cluster-2024-09-24/</x:v>
      </x:c>
      <x:c r="H82" s="85" t="str">
        <x:v>Generic source record is certainly not a third physical xAI site and ambiguously overlaps TNDC-030 or TNDC-031.</x:v>
      </x:c>
    </x:row>
    <x:row r="83">
      <x:c r="A83" s="123" t="str">
        <x:v>2026-09-03</x:v>
      </x:c>
      <x:c r="B83" s="85" t="str">
        <x:v>TNCAND-001</x:v>
      </x:c>
      <x:c r="C83" s="85" t="str">
        <x:v>REMOVE_DEDUP</x:v>
      </x:c>
      <x:c r="D83" s="85" t="str">
        <x:v>candidate record</x:v>
      </x:c>
      <x:c r="E83" s="85" t="str">
        <x:v>Duplicate of linked TNDC-006</x:v>
      </x:c>
      <x:c r="F83" s="85" t="str">
        <x:v>Evidence and alternate coordinate consolidated into TNDC-006</x:v>
      </x:c>
      <x:c r="G83" s="85" t="str">
        <x:v>https://www.servercountry.org/policy/tennessee/ | https://datacenterwatch.ai/proposals/fractracker-tn-unknown-operator-cielo-digital-infrastructure-686 | https://services1.arcgis.com/4yjifSiIG17X0gW4/arcgis/rest/services/Data_Centers/FeatureServer/0/query?where=OBJECTID%3D5239&amp;outFields=*&amp;returnGeometry=true&amp;f=json</x:v>
      </x:c>
      <x:c r="H83" s="85" t="str">
        <x:v>Remove exact cross-layer duplicate while preserving all evidence and uncertainty.</x:v>
      </x:c>
    </x:row>
    <x:row r="84">
      <x:c r="A84" s="123" t="str">
        <x:v>2026-09-03</x:v>
      </x:c>
      <x:c r="B84" s="85" t="str">
        <x:v>TNDC-006</x:v>
      </x:c>
      <x:c r="C84" s="85" t="str">
        <x:v>UPDATE</x:v>
      </x:c>
      <x:c r="D84" s="85" t="str">
        <x:v>evidence_urls | coordinate_conflict_flag | verification_note</x:v>
      </x:c>
      <x:c r="E84" s="85"/>
      <x:c r="F84" s="85" t="str">
        <x:v>Merged TNCAND-001 evidence; alternate coordinate spread 5.003 km retained</x:v>
      </x:c>
      <x:c r="G84" s="85" t="str">
        <x:v>https://www.servercountry.org/policy/tennessee/ | https://datacenterwatch.ai/proposals/fractracker-tn-unknown-operator-cielo-digital-infrastructure-686 | https://services1.arcgis.com/4yjifSiIG17X0gW4/arcgis/rest/services/Data_Centers/FeatureServer/0/query?where=OBJECTID%3D5239&amp;outFields=*&amp;returnGeometry=true&amp;f=json</x:v>
      </x:c>
      <x:c r="H84" s="85" t="str">
        <x:v>Consolidate duplicate representation into the stable Master facility ID.</x:v>
      </x:c>
    </x:row>
    <x:row r="85">
      <x:c r="A85" t="str">
        <x:v>2026-09-03</x:v>
      </x:c>
      <x:c r="B85" t="str">
        <x:v>TNDC-062</x:v>
      </x:c>
      <x:c r="C85" t="str">
        <x:v>ADD</x:v>
      </x:c>
      <x:c r="D85" t="str">
        <x:v>Master</x:v>
      </x:c>
      <x:c r="E85"/>
      <x:c r="F85" t="str">
        <x:v>Windstream Bristol Data Center</x:v>
      </x:c>
      <x:c r="G85" t="str">
        <x:v>https://www.datacentermap.com/usa/tennessee/bristol/windstream-bristol/ | https://www.datacenters.com/windstream-bristol-tn | https://www.loopnet.com/Listing/112-6th-St-Bristol-TN/35214864/</x:v>
      </x:c>
      <x:c r="H85" t="str">
        <x:v>New confirmed Bristol facility supported by three independent public sources.</x:v>
      </x:c>
    </x:row>
    <x:row r="86">
      <x:c r="A86" t="str">
        <x:v>2026-09-03</x:v>
      </x:c>
      <x:c r="B86" t="str">
        <x:v>TNDC-016</x:v>
      </x:c>
      <x:c r="C86" t="str">
        <x:v>UPDATE</x:v>
      </x:c>
      <x:c r="D86" t="str">
        <x:v>address/capacity</x:v>
      </x:c>
      <x:c r="E86" t="str">
        <x:v>address blank; capacity blank</x:v>
      </x:c>
      <x:c r="F86" t="str">
        <x:v>131-181 Douglas Ln; 25 MW</x:v>
      </x:c>
      <x:c r="G86" t="str">
        <x:v>https://www.datacentermap.com/usa/tennessee/knoxville/cleanspark-jellico/</x:v>
      </x:c>
      <x:c r="H86" t="str">
        <x:v>Added published facility address/capacity; permanent ID and existing coordinate retained.</x:v>
      </x:c>
    </x:row>
    <x:row r="87">
      <x:c r="A87" t="str">
        <x:v>2026-09-03</x:v>
      </x:c>
      <x:c r="B87" t="str">
        <x:v>TNDC-019</x:v>
      </x:c>
      <x:c r="C87" t="str">
        <x:v>UPDATE</x:v>
      </x:c>
      <x:c r="D87" t="str">
        <x:v>address/capacity</x:v>
      </x:c>
      <x:c r="E87" t="str">
        <x:v>address blank; capacity blank</x:v>
      </x:c>
      <x:c r="F87" t="str">
        <x:v>14250 Hickory Creek Rd; 40 MW</x:v>
      </x:c>
      <x:c r="G87" t="str">
        <x:v>https://www.datacentermap.com/usa/tennessee/knoxville/cleanspark-lenoir-city/specs/ | https://www.sec.gov/Archives/edgar/data/1830029/000095017024091972/grdi-ex10_2.htm</x:v>
      </x:c>
      <x:c r="H87" t="str">
        <x:v>Added published address/capacity; SEC filing independently confirms address.</x:v>
      </x:c>
    </x:row>
    <x:row r="88">
      <x:c r="A88" t="str">
        <x:v>2026-09-03</x:v>
      </x:c>
      <x:c r="B88" t="str">
        <x:v>TNDC-043</x:v>
      </x:c>
      <x:c r="C88" t="str">
        <x:v>UPDATE</x:v>
      </x:c>
      <x:c r="D88" t="str">
        <x:v>address/capacity</x:v>
      </x:c>
      <x:c r="E88" t="str">
        <x:v>address blank; capacity blank</x:v>
      </x:c>
      <x:c r="F88" t="str">
        <x:v>3750 Tennessee-33; 20 MW</x:v>
      </x:c>
      <x:c r="G88" t="str">
        <x:v>https://www.datacentermap.com/usa/tennessee/knoxville/cleanspark-new-tazewell/</x:v>
      </x:c>
      <x:c r="H88" t="str">
        <x:v>Added published facility address/capacity.</x:v>
      </x:c>
    </x:row>
    <x:row r="89">
      <x:c r="A89" t="str">
        <x:v>2026-09-03</x:v>
      </x:c>
      <x:c r="B89" t="str">
        <x:v>TNDC-045</x:v>
      </x:c>
      <x:c r="C89" t="str">
        <x:v>UPDATE</x:v>
      </x:c>
      <x:c r="D89" t="str">
        <x:v>address</x:v>
      </x:c>
      <x:c r="E89" t="str">
        <x:v>blank</x:v>
      </x:c>
      <x:c r="F89" t="str">
        <x:v>708 Pine Grove Rd</x:v>
      </x:c>
      <x:c r="G89" t="str">
        <x:v>https://www.datacentermap.com/usa/tennessee/knoxville/</x:v>
      </x:c>
      <x:c r="H89" t="str">
        <x:v>Added published facility address; existing coordinate retained.</x:v>
      </x:c>
    </x:row>
    <x:row r="90">
      <x:c r="A90" t="str">
        <x:v>2026-09-03</x:v>
      </x:c>
      <x:c r="B90" t="str">
        <x:v>TNCAND-017</x:v>
      </x:c>
      <x:c r="C90" t="str">
        <x:v>ADD</x:v>
      </x:c>
      <x:c r="D90" t="str">
        <x:v>Candidate_Sites</x:v>
      </x:c>
      <x:c r="E90"/>
      <x:c r="F90" t="str">
        <x:v>CleanSpark Mountain City 30 MW Bitcoin Mining Proposal</x:v>
      </x:c>
      <x:c r="G90" t="str">
        <x:v>https://www.datacentermap.com/usa/tennessee/knoxville/cleanspark-mountain-city/ | https://www.lpm.org/news/2025-08-15/tennessee-town-pushes-back-over-proposed-bitcoin-mine-and-wins</x:v>
      </x:c>
      <x:c r="H90" t="str">
        <x:v>Exact proposed site found, but project was not advanced; retained as cancelled candidate rather than Master.</x:v>
      </x:c>
    </x:row>
    <x:row r="91">
      <x:c r="A91" t="str">
        <x:v>2026-09-03</x:v>
      </x:c>
      <x:c r="B91"/>
      <x:c r="C91" t="str">
        <x:v>ADD</x:v>
      </x:c>
      <x:c r="D91" t="str">
        <x:v>Raw_Aligned</x:v>
      </x:c>
      <x:c r="E91" t="str">
        <x:v>187 source records</x:v>
      </x:c>
      <x:c r="F91" t="str">
        <x:v>196 source records</x:v>
      </x:c>
      <x:c r="G91" t="str">
        <x:v>9 new source-level public records</x:v>
      </x:c>
      <x:c r="H91" t="str">
        <x:v>Multi-source supplementation preserving unique (source, source_record_id) pairs.</x:v>
      </x:c>
    </x:row>
    <x:row r="92">
      <x:c r="A92" t="str">
        <x:v>2026-09-03</x:v>
      </x:c>
      <x:c r="B92" t="str">
        <x:v>TNDC-062</x:v>
      </x:c>
      <x:c r="C92" t="str">
        <x:v>UPDATE</x:v>
      </x:c>
      <x:c r="D92" t="str">
        <x:v>coordinates</x:v>
      </x:c>
      <x:c r="E92" t="str">
        <x:v>blank</x:v>
      </x:c>
      <x:c r="F92" t="str">
        <x:v>36.593557, -82.183509</x:v>
      </x:c>
      <x:c r="G92" t="str">
        <x:v>https://www.merchantcircle.com/tn-bristol/autos/rental/rentals | https://www.whereorg.com/highlander-ambl-service-15076797</x:v>
      </x:c>
      <x:c r="H92" t="str">
        <x:v>Added address-level coordinates for 112 6th St; two public coordinate sources differ by only ~44 m.</x:v>
      </x:c>
    </x:row>
    <x:row r="93">
      <x:c r="A93" t="str">
        <x:v>2026-09-03</x:v>
      </x:c>
      <x:c r="B93" t="str">
        <x:v>TNDC-045</x:v>
      </x:c>
      <x:c r="C93" t="str">
        <x:v>UPDATE</x:v>
      </x:c>
      <x:c r="D93" t="str">
        <x:v>coordinates</x:v>
      </x:c>
      <x:c r="E93" t="str">
        <x:v>36.5619, -84.4506 (approximate)</x:v>
      </x:c>
      <x:c r="F93" t="str">
        <x:v>36.5467887, -84.4521787</x:v>
      </x:c>
      <x:c r="G93" t="str">
        <x:v>https://www.geocords.com/place/708-pine-grove-rd-winfield-tn-37892-usa-137705/</x:v>
      </x:c>
      <x:c r="H93" t="str">
        <x:v>Replaced approximate location with direct address geocode for 708 Pine Grove Rd.</x:v>
      </x:c>
    </x:row>
    <x:row r="94">
      <x:c r="A94" t="str">
        <x:v>2026-09-04</x:v>
      </x:c>
      <x:c r="B94" t="str">
        <x:v>TNDC-048</x:v>
      </x:c>
      <x:c r="C94" t="str">
        <x:v>UPDATE</x:v>
      </x:c>
      <x:c r="D94" t="str">
        <x:v>coordinates</x:v>
      </x:c>
      <x:c r="E94" t="str">
        <x:v>None, None</x:v>
      </x:c>
      <x:c r="F94" t="str">
        <x:v>35.9585, -84.1392</x:v>
      </x:c>
      <x:c r="G94" t="str">
        <x:v>https://www.crexi.com/properties/740350/tennessee-infinity-data-center</x:v>
      </x:c>
      <x:c r="H94" t="str">
        <x:v>Direct property listing for the Infinity telecom/data-center property at 2575 Willow Point Way; address-level coordinates.</x:v>
      </x:c>
    </x:row>
    <x:row r="95">
      <x:c r="A95" t="str">
        <x:v>2026-09-04</x:v>
      </x:c>
      <x:c r="B95" t="str">
        <x:v>TNDC-050</x:v>
      </x:c>
      <x:c r="C95" t="str">
        <x:v>UPDATE</x:v>
      </x:c>
      <x:c r="D95" t="str">
        <x:v>coordinates</x:v>
      </x:c>
      <x:c r="E95" t="str">
        <x:v>None, None</x:v>
      </x:c>
      <x:c r="F95" t="str">
        <x:v>35.6163439553, -88.8159272209</x:v>
      </x:c>
      <x:c r="G95" t="str">
        <x:v>https://www.merchantcircle.com/tn-jackson-38301/electronics/internet-services</x:v>
      </x:c>
      <x:c r="H95" t="str">
        <x:v>Aeneas Internet and Telephone is listed at 300 N Cumberland St with explicit coordinates.</x:v>
      </x:c>
    </x:row>
    <x:row r="96">
      <x:c r="A96" t="str">
        <x:v>2026-09-04</x:v>
      </x:c>
      <x:c r="B96" t="str">
        <x:v>TNDC-053</x:v>
      </x:c>
      <x:c r="C96" t="str">
        <x:v>UPDATE</x:v>
      </x:c>
      <x:c r="D96" t="str">
        <x:v>coordinates</x:v>
      </x:c>
      <x:c r="E96" t="str">
        <x:v>None, None</x:v>
      </x:c>
      <x:c r="F96" t="str">
        <x:v>36.037186, -86.806206</x:v>
      </x:c>
      <x:c r="G96" t="str">
        <x:v>https://www.merchantcircle.com/Harpeth.Technology.Group.Brentwood.TN.615-371-1160</x:v>
      </x:c>
      <x:c r="H96" t="str">
        <x:v>Address-level geocode for 105 Westwood Pl, Brentwood.</x:v>
      </x:c>
    </x:row>
    <x:row r="97">
      <x:c r="A97" t="str">
        <x:v>2026-09-04</x:v>
      </x:c>
      <x:c r="B97" t="str">
        <x:v>TNDC-055</x:v>
      </x:c>
      <x:c r="C97" t="str">
        <x:v>UPDATE</x:v>
      </x:c>
      <x:c r="D97" t="str">
        <x:v>coordinates</x:v>
      </x:c>
      <x:c r="E97" t="str">
        <x:v>None, None</x:v>
      </x:c>
      <x:c r="F97" t="str">
        <x:v>36.1202759, -86.7623382</x:v>
      </x:c>
      <x:c r="G97" t="str">
        <x:v>https://www.colocapacity.com/facilities/812/Nashville%20Data%20Center</x:v>
      </x:c>
      <x:c r="H97" t="str">
        <x:v>Data-center directory record directly identifies Lumen Nashville at 708 Melrose Ave and provides facility coordinates.</x:v>
      </x:c>
    </x:row>
    <x:row r="98">
      <x:c r="A98" t="str">
        <x:v>2026-09-04</x:v>
      </x:c>
      <x:c r="B98" t="str">
        <x:v>TNDC-057</x:v>
      </x:c>
      <x:c r="C98" t="str">
        <x:v>UPDATE</x:v>
      </x:c>
      <x:c r="D98" t="str">
        <x:v>coordinates</x:v>
      </x:c>
      <x:c r="E98" t="str">
        <x:v>None, None</x:v>
      </x:c>
      <x:c r="F98" t="str">
        <x:v>35.1132403, -89.8928537</x:v>
      </x:c>
      <x:c r="G98" t="str">
        <x:v>https://www.whereorg.com/mark-d-winborn-phd-15301380</x:v>
      </x:c>
      <x:c r="H98" t="str">
        <x:v>Address-level coordinate for 5050 Poplar Ave; suite-level internal position cannot be distinguished, so building coordinate is used.</x:v>
      </x:c>
    </x:row>
    <x:row r="99">
      <x:c r="A99" t="str">
        <x:v>2026-09-04</x:v>
      </x:c>
      <x:c r="B99" t="str">
        <x:v>TNDC-058</x:v>
      </x:c>
      <x:c r="C99" t="str">
        <x:v>UPDATE</x:v>
      </x:c>
      <x:c r="D99" t="str">
        <x:v>coordinates</x:v>
      </x:c>
      <x:c r="E99" t="str">
        <x:v>None, None</x:v>
      </x:c>
      <x:c r="F99" t="str">
        <x:v>35.0417724, -89.8845309</x:v>
      </x:c>
      <x:c r="G99" t="str">
        <x:v>https://www.geocords.com/place/3900-s-mendenhall-rd-memphis-tn-38115-usa-30408/</x:v>
      </x:c>
      <x:c r="H99" t="str">
        <x:v>Direct address geocode for 3900 S Mendenhall Rd.</x:v>
      </x:c>
    </x:row>
    <x:row r="100">
      <x:c r="A100" t="str">
        <x:v>2026-09-04</x:v>
      </x:c>
      <x:c r="B100" t="str">
        <x:v>TNDC-060</x:v>
      </x:c>
      <x:c r="C100" t="str">
        <x:v>UPDATE</x:v>
      </x:c>
      <x:c r="D100" t="str">
        <x:v>coordinates</x:v>
      </x:c>
      <x:c r="E100" t="str">
        <x:v>None, None</x:v>
      </x:c>
      <x:c r="F100" t="str">
        <x:v>35.161945, -89.860031</x:v>
      </x:c>
      <x:c r="G100" t="str">
        <x:v>https://www.merchantcircle.com/priority-alarms-systems1-memphis-tn</x:v>
      </x:c>
      <x:c r="H100" t="str">
        <x:v>Address-level geocode for 1341 Sycamore View Rd; corroborates independent Nextdoor coordinate at the same address.</x:v>
      </x:c>
    </x:row>
    <x:row r="101">
      <x:c r="A101" t="str">
        <x:v>2026-09-04</x:v>
      </x:c>
      <x:c r="B101" t="str">
        <x:v>TNCAND-002</x:v>
      </x:c>
      <x:c r="C101" t="str">
        <x:v>UPDATE</x:v>
      </x:c>
      <x:c r="D101" t="str">
        <x:v>coordinates</x:v>
      </x:c>
      <x:c r="E101" t="str">
        <x:v>None, None</x:v>
      </x:c>
      <x:c r="F101" t="str">
        <x:v>35.968063, -84.35597</x:v>
      </x:c>
      <x:c r="G101" t="str">
        <x:v>https://usace.contentdm.oclc.org/digital/api/collection/p16021coll15/id/4976/download</x:v>
      </x:c>
      <x:c r="H101" t="str">
        <x:v>USACE review area north of the Imperium Dr / Renovare Blvd intersection provides a site-area coordinate. This is not asserted as a parcel-centroid or exact facility point.</x:v>
      </x:c>
    </x:row>
    <x:row r="102">
      <x:c r="A102" t="str">
        <x:v>2026-09-04</x:v>
      </x:c>
      <x:c r="B102" t="str">
        <x:v>TNCAND-009</x:v>
      </x:c>
      <x:c r="C102" t="str">
        <x:v>UPDATE</x:v>
      </x:c>
      <x:c r="D102" t="str">
        <x:v>coordinates</x:v>
      </x:c>
      <x:c r="E102" t="str">
        <x:v>None, None</x:v>
      </x:c>
      <x:c r="F102" t="str">
        <x:v>35.9313055556, -84.3104166667</x:v>
      </x:c>
      <x:c r="G102" t="str">
        <x:v>https://laboremploymenttraining.ornl.gov/location/</x:v>
      </x:c>
      <x:c r="H102" t="str">
        <x:v>ORNL official page gives Visitor Center GPS for One Bethel Valley Rd; used as the address/site point for the campus-level candidate.</x:v>
      </x:c>
    </x:row>
    <x:row r="103">
      <x:c r="A103" t="str">
        <x:v>2026-09-04</x:v>
      </x:c>
      <x:c r="B103" t="str">
        <x:v>TNCAND-013</x:v>
      </x:c>
      <x:c r="C103" t="str">
        <x:v>UPDATE</x:v>
      </x:c>
      <x:c r="D103" t="str">
        <x:v>coordinates</x:v>
      </x:c>
      <x:c r="E103" t="str">
        <x:v>None, None</x:v>
      </x:c>
      <x:c r="F103" t="str">
        <x:v>35.046874, -85.311133</x:v>
      </x:c>
      <x:c r="G103" t="str">
        <x:v>https://www.whereorg.com/attorney-referral-service-15170587</x:v>
      </x:c>
      <x:c r="H103" t="str">
        <x:v>Address-level coordinate for 801 Broad St, Chattanooga.</x:v>
      </x:c>
    </x:row>
    <x:row r="104">
      <x:c r="A104" t="str">
        <x:v>2026-09-04</x:v>
      </x:c>
      <x:c r="B104" t="str">
        <x:v>TNCAND-015</x:v>
      </x:c>
      <x:c r="C104" t="str">
        <x:v>UPDATE</x:v>
      </x:c>
      <x:c r="D104" t="str">
        <x:v>coordinates</x:v>
      </x:c>
      <x:c r="E104" t="str">
        <x:v>None, None</x:v>
      </x:c>
      <x:c r="F104" t="str">
        <x:v>35.1086604, -89.8910128</x:v>
      </x:c>
      <x:c r="G104" t="str">
        <x:v>https://www.whereorg.com/directv-15064353</x:v>
      </x:c>
      <x:c r="H104" t="str">
        <x:v>Address-level coordinate for 5127 Truse Rd, Memphis.</x:v>
      </x:c>
    </x:row>
    <x:row r="105">
      <x:c r="A105" t="str">
        <x:v>2026-09-04</x:v>
      </x:c>
      <x:c r="B105" t="str">
        <x:v>TNCAND-016</x:v>
      </x:c>
      <x:c r="C105" t="str">
        <x:v>UPDATE</x:v>
      </x:c>
      <x:c r="D105" t="str">
        <x:v>coordinates</x:v>
      </x:c>
      <x:c r="E105" t="str">
        <x:v>None, None</x:v>
      </x:c>
      <x:c r="F105" t="str">
        <x:v>35.0344101, -89.883273</x:v>
      </x:c>
      <x:c r="G105" t="str">
        <x:v>https://www.whereorg.com/conference-technologies-15266003</x:v>
      </x:c>
      <x:c r="H105" t="str">
        <x:v>Address-level coordinate for 5425 E Raines Rd, Memphis.</x:v>
      </x:c>
    </x:row>
    <x:row r="106">
      <x:c r="A106" t="str">
        <x:v>2026-09-04</x:v>
      </x:c>
      <x:c r="B106" t="str">
        <x:v>TNDC-021</x:v>
      </x:c>
      <x:c r="C106" t="str">
        <x:v>UPDATE</x:v>
      </x:c>
      <x:c r="D106" t="str">
        <x:v>operator</x:v>
      </x:c>
      <x:c r="E106"/>
      <x:c r="F106" t="str">
        <x:v>Arnold Engineering Development Complex (AEDC)</x:v>
      </x:c>
      <x:c r="G106" t="str">
        <x:v>https://www.arnold.af.mil/</x:v>
      </x:c>
      <x:c r="H106" t="str">
        <x:v>Filled required operator from current public evidence.</x:v>
      </x:c>
    </x:row>
    <x:row r="107">
      <x:c r="A107" t="str">
        <x:v>2026-09-04</x:v>
      </x:c>
      <x:c r="B107" t="str">
        <x:v>TNDC-039</x:v>
      </x:c>
      <x:c r="C107" t="str">
        <x:v>UPDATE</x:v>
      </x:c>
      <x:c r="D107" t="str">
        <x:v>operator</x:v>
      </x:c>
      <x:c r="E107"/>
      <x:c r="F107" t="str">
        <x:v>Fisk University</x:v>
      </x:c>
      <x:c r="G107" t="str">
        <x:v>https://www.datacentermap.com/usa/tennessee/nashville/quantum-leap-data-center/</x:v>
      </x:c>
      <x:c r="H107" t="str">
        <x:v>Filled required operator from current public evidence.</x:v>
      </x:c>
    </x:row>
    <x:row r="108">
      <x:c r="A108" t="str">
        <x:v>2026-09-04</x:v>
      </x:c>
      <x:c r="B108" t="str">
        <x:v>TNDC-061</x:v>
      </x:c>
      <x:c r="C108" t="str">
        <x:v>UPDATE</x:v>
      </x:c>
      <x:c r="D108" t="str">
        <x:v>operator</x:v>
      </x:c>
      <x:c r="E108"/>
      <x:c r="F108" t="str">
        <x:v>Undisclosed private developer (Humboldt Utilities customer)</x:v>
      </x:c>
      <x:c r="G108" t="str">
        <x:v>https://registry.deploy.report/datacenters/facilities/humboldt-gibson-county-crypto-mine-tn</x:v>
      </x:c>
      <x:c r="H108" t="str">
        <x:v>Filled required operator from current public evidence.</x:v>
      </x:c>
    </x:row>
    <x:row r="109">
      <x:c r="A109" t="str">
        <x:v>2026-09-04</x:v>
      </x:c>
      <x:c r="B109" t="str">
        <x:v>TNDC-002</x:v>
      </x:c>
      <x:c r="C109" t="str">
        <x:v>UPDATE</x:v>
      </x:c>
      <x:c r="D109" t="str">
        <x:v>address/city/postal_code</x:v>
      </x:c>
      <x:c r="E109"/>
      <x:c r="F109" t="str">
        <x:v>5784 Plateau Rd | Crossville | 38571</x:v>
      </x:c>
      <x:c r="G109" t="str">
        <x:v>https://www.sec.gov/Archives/edgar/data/827876/000095017024105354/clsk-ex10_4.htm</x:v>
      </x:c>
      <x:c r="H109" t="str">
        <x:v>SEC filing identifies the Campbell Junction Property at this address; existing approximate GPS retained.</x:v>
      </x:c>
    </x:row>
    <x:row r="110">
      <x:c r="A110" t="str">
        <x:v>2026-09-04</x:v>
      </x:c>
      <x:c r="B110" t="str">
        <x:v>TNDC-009</x:v>
      </x:c>
      <x:c r="C110" t="str">
        <x:v>UPDATE</x:v>
      </x:c>
      <x:c r="D110" t="str">
        <x:v>address/city/postal_code</x:v>
      </x:c>
      <x:c r="E110"/>
      <x:c r="F110" t="str">
        <x:v>268 Sparta Hwy | Crossville | 38572</x:v>
      </x:c>
      <x:c r="G110" t="str">
        <x:v>https://www.sec.gov/Archives/edgar/data/827876/000095017024105354/clsk-ex10_4.htm</x:v>
      </x:c>
      <x:c r="H110" t="str">
        <x:v>SEC filing identifies the West Crossville property at this address; existing approximate GPS retained.</x:v>
      </x:c>
    </x:row>
    <x:row r="111">
      <x:c r="A111" t="str">
        <x:v>2026-09-04</x:v>
      </x:c>
      <x:c r="B111" t="str">
        <x:v>TNDC-007</x:v>
      </x:c>
      <x:c r="C111" t="str">
        <x:v>UPDATE</x:v>
      </x:c>
      <x:c r="D111" t="str">
        <x:v>location_confidence</x:v>
      </x:c>
      <x:c r="E111" t="str">
        <x:v>medium</x:v>
      </x:c>
      <x:c r="F111" t="str">
        <x:v>high</x:v>
      </x:c>
      <x:c r="G111" t="str">
        <x:v>https://www.datacentermap.com/usa/tennessee/clarksville/google-montgomery-county/specs/</x:v>
      </x:c>
      <x:c r="H111" t="str">
        <x:v>Exact street/site identity independently confirmed.</x:v>
      </x:c>
    </x:row>
    <x:row r="112">
      <x:c r="A112" t="str">
        <x:v>2026-09-04</x:v>
      </x:c>
      <x:c r="B112" t="str">
        <x:v>TNDC-039</x:v>
      </x:c>
      <x:c r="C112" t="str">
        <x:v>UPDATE</x:v>
      </x:c>
      <x:c r="D112" t="str">
        <x:v>coordinates/precision</x:v>
      </x:c>
      <x:c r="E112"/>
      <x:c r="F112" t="str">
        <x:v>36.167574, -86.8041028 | address_or_site | high</x:v>
      </x:c>
      <x:c r="G112" t="str">
        <x:v>https://www.whereorg.com/fisk-university-15250808</x:v>
      </x:c>
      <x:c r="H112" t="str">
        <x:v>Address-level point.</x:v>
      </x:c>
    </x:row>
    <x:row r="113">
      <x:c r="A113" t="str">
        <x:v>2026-09-04</x:v>
      </x:c>
      <x:c r="B113" t="str">
        <x:v>TNDC-006</x:v>
      </x:c>
      <x:c r="C113" t="str">
        <x:v>UPDATE</x:v>
      </x:c>
      <x:c r="D113" t="str">
        <x:v>location_precision</x:v>
      </x:c>
      <x:c r="E113" t="str">
        <x:v>exact</x:v>
      </x:c>
      <x:c r="F113" t="str">
        <x:v>area_or_city</x:v>
      </x:c>
      <x:c r="G113" t="str">
        <x:v>https://registry.deploy.report/datacenters/facilities/cielo-clarksville-data-center-tn</x:v>
      </x:c>
      <x:c r="H113" t="str">
        <x:v>Removed unsupported exact precision.</x:v>
      </x:c>
    </x:row>
    <x:row r="114">
      <x:c r="A114" t="str">
        <x:v>2026-09-04</x:v>
      </x:c>
      <x:c r="B114" t="str">
        <x:v>TNDC-023</x:v>
      </x:c>
      <x:c r="C114" t="str">
        <x:v>UPDATE</x:v>
      </x:c>
      <x:c r="D114" t="str">
        <x:v>address/precision</x:v>
      </x:c>
      <x:c r="E114" t="str">
        <x:v>possibly Bybee Branch Rd</x:v>
      </x:c>
      <x:c r="F114" t="str">
        <x:v>191 Industrial Dr vicinity | approximate_site</x:v>
      </x:c>
      <x:c r="G114" t="str">
        <x:v>https://warrencountyway.com/hixson-data-center-development-project/</x:v>
      </x:c>
      <x:c r="H114" t="str">
        <x:v>Replaced speculative address with sourced vicinity.</x:v>
      </x:c>
    </x:row>
    <x:row r="115">
      <x:c r="A115" t="str">
        <x:v>2026-09-04</x:v>
      </x:c>
      <x:c r="B115" t="str">
        <x:v>TNCAND-010</x:v>
      </x:c>
      <x:c r="C115" t="str">
        <x:v>UPDATE</x:v>
      </x:c>
      <x:c r="D115" t="str">
        <x:v>location</x:v>
      </x:c>
      <x:c r="E115"/>
      <x:c r="F115" t="str">
        <x:v>One Bethel Valley Rd, Bldg 5100 | 35.9313056,-84.3104167</x:v>
      </x:c>
      <x:c r="G115" t="str">
        <x:v>https://nics.utk.edu/contact/ | https://laboremploymenttraining.ornl.gov/location/</x:v>
      </x:c>
      <x:c r="H115" t="str">
        <x:v>Official campus-level location.</x:v>
      </x:c>
    </x:row>
    <x:row r="116">
      <x:c r="A116" t="str">
        <x:v>2026-09-04</x:v>
      </x:c>
      <x:c r="B116" t="str">
        <x:v>TNCAND-011</x:v>
      </x:c>
      <x:c r="C116" t="str">
        <x:v>UPDATE</x:v>
      </x:c>
      <x:c r="D116" t="str">
        <x:v>address/county/postal</x:v>
      </x:c>
      <x:c r="E116"/>
      <x:c r="F116" t="str">
        <x:v>1231 18th Avenue South | Davidson | 37212</x:v>
      </x:c>
      <x:c r="G116" t="str">
        <x:v>https://www.vanderbilt.edu/accre/location/</x:v>
      </x:c>
      <x:c r="H116" t="str">
        <x:v>Official location; GPS not inferred.</x:v>
      </x:c>
    </x:row>
    <x:row r="117">
      <x:c r="A117" t="str">
        <x:v>2026-09-04</x:v>
      </x:c>
      <x:c r="B117"/>
      <x:c r="C117" t="str">
        <x:v>UPDATE</x:v>
      </x:c>
      <x:c r="D117" t="str">
        <x:v>Raw_Aligned required fields</x:v>
      </x:c>
      <x:c r="E117" t="str">
        <x:v>34 status blanks + 61 text-coordinate pairs</x:v>
      </x:c>
      <x:c r="F117" t="str">
        <x:v>status filled + numeric coordinates</x:v>
      </x:c>
      <x:c r="G117" t="str">
        <x:v>existing provenance</x:v>
      </x:c>
      <x:c r="H117" t="str">
        <x:v>Repaired historical Raw compatibility violations without changing source IDs or source-native evidence.</x:v>
      </x:c>
    </x:row>
    <x:row r="118">
      <x:c r="A118" t="str">
        <x:v>2026-09-04</x:v>
      </x:c>
      <x:c r="B118" t="str">
        <x:v>TNDC-052</x:v>
      </x:c>
      <x:c r="C118" t="str">
        <x:v>UPDATE</x:v>
      </x:c>
      <x:c r="D118" t="str">
        <x:v>coordinates</x:v>
      </x:c>
      <x:c r="E118" t="str">
        <x:v>blank</x:v>
      </x:c>
      <x:c r="F118" t="str">
        <x:v>35.856076, -86.405338</x:v>
      </x:c>
      <x:c r="G118" t="str">
        <x:v>https://www.merchantcircle.com/tn-murfreesboro/retail-shopping/clothing/military-surplus</x:v>
      </x:c>
      <x:c r="H118" t="str">
        <x:v>Address-level coordinate added.</x:v>
      </x:c>
    </x:row>
    <x:row r="119">
      <x:c r="A119" t="str">
        <x:v>2026-09-04</x:v>
      </x:c>
      <x:c r="B119" t="str">
        <x:v>TNDC-061</x:v>
      </x:c>
      <x:c r="C119" t="str">
        <x:v>UPDATE</x:v>
      </x:c>
      <x:c r="D119" t="str">
        <x:v>address/postal/coordinates</x:v>
      </x:c>
      <x:c r="E119" t="str">
        <x:v>blank</x:v>
      </x:c>
      <x:c r="F119" t="str">
        <x:v>Gibson County Industrial Park vicinity | 38343 | 35.842805, -88.921847</x:v>
      </x:c>
      <x:c r="G119" t="str">
        <x:v>https://www.wtia.org/images/uploads/content_files/Gibson-county-south.pdf</x:v>
      </x:c>
      <x:c r="H119" t="str">
        <x:v>Approximate-site anchor only; not asserted exact.</x:v>
      </x:c>
    </x:row>
    <x:row r="120">
      <x:c r="A120" t="str">
        <x:v>2026-09-04</x:v>
      </x:c>
      <x:c r="B120" t="str">
        <x:v>TNCAND-011</x:v>
      </x:c>
      <x:c r="C120" t="str">
        <x:v>UPDATE</x:v>
      </x:c>
      <x:c r="D120" t="str">
        <x:v>coordinates</x:v>
      </x:c>
      <x:c r="E120" t="str">
        <x:v>blank</x:v>
      </x:c>
      <x:c r="F120" t="str">
        <x:v>36.142856, -86.796033</x:v>
      </x:c>
      <x:c r="G120" t="str">
        <x:v>https://www.merchantcircle.com/vanderbilt-university-college-of-arts-science32-nashville-tn</x:v>
      </x:c>
      <x:c r="H120" t="str">
        <x:v>Hill Center building coordinate added.</x:v>
      </x:c>
    </x:row>
    <x:row r="121">
      <x:c r="A121" t="str">
        <x:v>2026-09-04</x:v>
      </x:c>
      <x:c r="B121" t="str">
        <x:v>TNCAND-014</x:v>
      </x:c>
      <x:c r="C121" t="str">
        <x:v>UPDATE</x:v>
      </x:c>
      <x:c r="D121" t="str">
        <x:v>coordinates</x:v>
      </x:c>
      <x:c r="E121" t="str">
        <x:v>blank</x:v>
      </x:c>
      <x:c r="F121" t="str">
        <x:v>36.173667, -86.7835769</x:v>
      </x:c>
      <x:c r="G121" t="str">
        <x:v>https://github.com/cmusatyalab/elijah-discovery-basic/blob/master/elijah/discovery/emulation/gps | https://www.datacentermap.com/usa/tennessee/nashville/nuvox-nashville/</x:v>
      </x:c>
      <x:c r="H121" t="str">
        <x:v>Address-level coordinate added.</x:v>
      </x:c>
    </x:row>
    <x:row r="122">
      <x:c r="A122" t="str">
        <x:v>2026-09-04</x:v>
      </x:c>
      <x:c r="B122" t="str">
        <x:v>TNCAND-007</x:v>
      </x:c>
      <x:c r="C122" t="str">
        <x:v>UPDATE</x:v>
      </x:c>
      <x:c r="D122" t="str">
        <x:v>address/postal</x:v>
      </x:c>
      <x:c r="E122" t="str">
        <x:v>blank</x:v>
      </x:c>
      <x:c r="F122" t="str">
        <x:v>92 Weakly Avenue | 37267</x:v>
      </x:c>
      <x:c r="G122" t="str">
        <x:v>https://rmd-rda.tnsos.net/rda/generate/pdf/35498/print</x:v>
      </x:c>
      <x:c r="H122" t="str">
        <x:v>Official State Data Center South address added.</x:v>
      </x:c>
    </x:row>
    <x:row r="123">
      <x:c r="A123" t="str">
        <x:v>2026-09-04</x:v>
      </x:c>
      <x:c r="B123" t="str">
        <x:v>TNCAND-008</x:v>
      </x:c>
      <x:c r="C123" t="str">
        <x:v>UPDATE</x:v>
      </x:c>
      <x:c r="D123" t="str">
        <x:v>address/postal</x:v>
      </x:c>
      <x:c r="E123" t="str">
        <x:v>blank</x:v>
      </x:c>
      <x:c r="F123" t="str">
        <x:v>901 5th Avenue North | 37219</x:v>
      </x:c>
      <x:c r="G123" t="str">
        <x:v>https://www.slideshare.net/slideshow/tn-data-governance-element-playbook-pdf/270290441</x:v>
      </x:c>
      <x:c r="H123" t="str">
        <x:v>Official Data Center North address added.</x:v>
      </x:c>
    </x:row>
    <x:row r="124">
      <x:c r="A124" t="str">
        <x:v>2026-09-04</x:v>
      </x:c>
      <x:c r="B124" t="str">
        <x:v>TNDC-051</x:v>
      </x:c>
      <x:c r="C124" t="str">
        <x:v>UPDATE</x:v>
      </x:c>
      <x:c r="D124" t="str">
        <x:v>coordinates</x:v>
      </x:c>
      <x:c r="E124" t="str">
        <x:v>blank</x:v>
      </x:c>
      <x:c r="F124" t="str">
        <x:v>35.07589, -85.18455</x:v>
      </x:c>
      <x:c r="G124" t="str">
        <x:v>https://mapcarta.com/W1076669797</x:v>
      </x:c>
      <x:c r="H124" t="str">
        <x:v>Address-level OSM building coordinate added for 6048 Century Oaks Dr.</x:v>
      </x:c>
    </x:row>
    <x:row r="125">
      <x:c r="A125" t="str">
        <x:v>2026-09-04</x:v>
      </x:c>
      <x:c r="B125" t="str">
        <x:v>TNCAND-008</x:v>
      </x:c>
      <x:c r="C125" t="str">
        <x:v>UPDATE</x:v>
      </x:c>
      <x:c r="D125" t="str">
        <x:v>address/postal/coordinates</x:v>
      </x:c>
      <x:c r="E125" t="str">
        <x:v>901 5th Avenue North | 37219 | blank coordinates</x:v>
      </x:c>
      <x:c r="F125" t="str">
        <x:v>901 5th Ave N | 37243 | 36.171264, -86.785312</x:v>
      </x:c>
      <x:c r="G125" t="str">
        <x:v>https://www.ibegin.com/directory/us/tennessee/nashville/state-of-tennessee-data-center/</x:v>
      </x:c>
      <x:c r="H125" t="str">
        <x:v>Direct address-level coordinate published by directory matching the State of Tennessee Data Center.</x:v>
      </x:c>
    </x:row>
    <x:row r="126">
      <x:c r="A126" t="str">
        <x:v>2026-09-04</x:v>
      </x:c>
      <x:c r="B126" t="str">
        <x:v>TNCAND-007</x:v>
      </x:c>
      <x:c r="C126" t="str">
        <x:v>UPDATE</x:v>
      </x:c>
      <x:c r="D126" t="str">
        <x:v>address/postal/coordinates</x:v>
      </x:c>
      <x:c r="E126" t="str">
        <x:v>92 Weakly Avenue | 37267 | blank coordinates</x:v>
      </x:c>
      <x:c r="F126" t="str">
        <x:v>92 Weakley Ln | 37167 | 35.993554, -86.4994229 (adjacent-address anchor)</x:v>
      </x:c>
      <x:c r="G126" t="str">
        <x:v>https://www.yellowpages.com/nashville-tn/data-communication-services | https://www.simplecontacts.com/profile/Travis-Gamblin-5172af3</x:v>
      </x:c>
      <x:c r="H126" t="str">
        <x:v>Address normalized; adjacent-address coordinate explicitly classified approximate_site / medium.</x:v>
      </x:c>
    </x:row>
    <x:row r="127">
      <x:c r="A127" t="str">
        <x:v>2026-09-04</x:v>
      </x:c>
      <x:c r="B127" t="str">
        <x:v>TNDC-047</x:v>
      </x:c>
      <x:c r="C127" t="str">
        <x:v>UPDATE</x:v>
      </x:c>
      <x:c r="D127" t="str">
        <x:v>coordinates</x:v>
      </x:c>
      <x:c r="E127" t="str">
        <x:v>550 Fort Summit Way | blank coordinates</x:v>
      </x:c>
      <x:c r="F127" t="str">
        <x:v>550 Fort Summit Way | 35.97048129, -83.91221605 | approximate_site/medium</x:v>
      </x:c>
      <x:c r="G127" t="str">
        <x:v>https://www.datacentermap.com/usa/tennessee/knoxville/the-fort/</x:v>
      </x:c>
      <x:c r="H127" t="str">
        <x:v>Derived approximate-site coordinate from DataCenterMap straight-line distances to Scipio Knoxville (0.6 mi), Bitdeer Tennessee (4.73 mi), and Infinity Data Center (12.75 mi), using those facilities' existing WGS84 coordinates. Least-squares distance residuals are ~0.03-0.05 km. This is not asserted as an exact building centroid.</x:v>
      </x:c>
    </x:row>
    <x:row r="128">
      <x:c r="A128" t="str">
        <x:v>2026-09-04</x:v>
      </x:c>
      <x:c r="B128" t="str">
        <x:v>TNDC-049</x:v>
      </x:c>
      <x:c r="C128" t="str">
        <x:v>UPDATE</x:v>
      </x:c>
      <x:c r="D128" t="str">
        <x:v>coordinates</x:v>
      </x:c>
      <x:c r="E128" t="str">
        <x:v>2333 Lovell Rd | blank coordinates</x:v>
      </x:c>
      <x:c r="F128" t="str">
        <x:v>2333 Lovell Rd | 35.95217137, -84.12517265 | approximate_site/medium</x:v>
      </x:c>
      <x:c r="G128" t="str">
        <x:v>https://www.datacentermap.com/usa/tennessee/knoxville/windstream-knoxville/</x:v>
      </x:c>
      <x:c r="H128" t="str">
        <x:v>Derived approximate-site coordinate from DataCenterMap distances to Infinity Data Center (1.47 km), Scipio Knoxville (18.41 km), TenHats Knoxville (19.3 km), and LCUB Data Center (17.73 km). The multilateration solution has ~0.01-0.03 km residuals against these anchors. The lower-latitude circle intersection is selected because it also agrees with the LCUB distance. Not asserted as an exact building centroid.</x:v>
      </x:c>
    </x:row>
    <x:row r="129">
      <x:c r="A129" t="str">
        <x:v>2026-09-04</x:v>
      </x:c>
      <x:c r="B129" t="str">
        <x:v>TNDC-054</x:v>
      </x:c>
      <x:c r="C129" t="str">
        <x:v>UPDATE</x:v>
      </x:c>
      <x:c r="D129" t="str">
        <x:v>coordinates</x:v>
      </x:c>
      <x:c r="E129" t="str">
        <x:v>2530 Perimeter Place Drive | blank coordinates</x:v>
      </x:c>
      <x:c r="F129" t="str">
        <x:v>2530 Perimeter Place Drive | 36.14787701, -86.68002591 | approximate_site/medium</x:v>
      </x:c>
      <x:c r="G129" t="str">
        <x:v>https://www.datacentermap.com/usa/tennessee/nashville/level3-nashville2/</x:v>
      </x:c>
      <x:c r="H129" t="str">
        <x:v>Derived approximate-site coordinate from DataCenterMap distances to EdgeConneX Nashville (1.28 mi), Lumen Nashville 4 (4.89 mi), DC BLOX Nashville Campus (5.49 mi), and H5 Nashville II (5.6 mi). Maximum residual is ~0.13 km. Property identity remains independently confirmed at 2530 Perimeter Place Dr / parcel 095-00-0-119.</x:v>
      </x:c>
    </x:row>
    <x:row r="130">
      <x:c r="A130" t="str">
        <x:v>2026-09-04</x:v>
      </x:c>
      <x:c r="B130" t="str">
        <x:v>TNDC-056</x:v>
      </x:c>
      <x:c r="C130" t="str">
        <x:v>UPDATE</x:v>
      </x:c>
      <x:c r="D130" t="str">
        <x:v>coordinates</x:v>
      </x:c>
      <x:c r="E130" t="str">
        <x:v>338 Woodycrest Ave | blank coordinates</x:v>
      </x:c>
      <x:c r="F130" t="str">
        <x:v>338 Woodycrest Ave | 36.13170626, -86.75324366 | approximate_site/medium</x:v>
      </x:c>
      <x:c r="G130" t="str">
        <x:v>https://www.datacentermap.com/usa/tennessee/nashville/cogent-data-center-nashville/</x:v>
      </x:c>
      <x:c r="H130" t="str">
        <x:v>Derived approximate-site coordinate from DataCenterMap distances to Lumen Nashville 4 (0.92 mi), H5 Nashville II (2.55 mi), DC BLOX Nashville Campus (2.85 mi), EdgeConneX Nashville (2.99 mi), and Uniti Nashville (3.35 mi). Residuals are ~0.01-0.04 km. Address/parcel identity is independently confirmed at 338 Woodycrest Ave / parcel 105-12-0-038.</x:v>
      </x:c>
    </x:row>
    <x:row r="131">
      <x:c r="A131" t="str">
        <x:v>2026-09-04</x:v>
      </x:c>
      <x:c r="B131" t="str">
        <x:v>TNDC-059</x:v>
      </x:c>
      <x:c r="C131" t="str">
        <x:v>UPDATE</x:v>
      </x:c>
      <x:c r="D131" t="str">
        <x:v>coordinates/address</x:v>
      </x:c>
      <x:c r="E131" t="str">
        <x:v>4300 Getwell Rd | blank coordinates</x:v>
      </x:c>
      <x:c r="F131" t="str">
        <x:v>4280 Getwell Rd | 35.0327269, -89.9354893 | approximate_site/medium</x:v>
      </x:c>
      <x:c r="G131" t="str">
        <x:v>https://www.datacentermap.com/usa/tennessee/memphis/5cdc-memphis-mem01/</x:v>
      </x:c>
      <x:c r="H131" t="str">
        <x:v>Current DataCenterMap facility-facing address is 4280 Getwell Rd. Derived approximate-site coordinate from distances to Lumen Memphis 1 (0.38 mi), EdgeConneX Memphis (2.82 mi), and Connect Memphis (2.95 mi); residuals are effectively zero (&lt;0.001 km). Existing 4300 Getwell Rd assessor/permit evidence is preserved as related broader-site construction/property evidence, but the normalized facility address is updated to 4280 Getwell Rd.</x:v>
      </x:c>
    </x:row>
    <x:row r="132">
      <x:c r="A132" t="str">
        <x:v>2026-09-04</x:v>
      </x:c>
      <x:c r="B132" t="str">
        <x:v>TNCAND-005</x:v>
      </x:c>
      <x:c r="C132" t="str">
        <x:v>UPDATE</x:v>
      </x:c>
      <x:c r="D132" t="str">
        <x:v>address/location confidence</x:v>
      </x:c>
      <x:c r="E132" t="str">
        <x:v>address blank | area_or_city/low</x:v>
      </x:c>
      <x:c r="F132" t="str">
        <x:v>2342 North Parkway East | address_or_site/high | coordinates blank</x:v>
      </x:c>
      <x:c r="G132" t="str">
        <x:v>https://tpucdockets.tn.gov/archive/filings/2003/0300438ar.pdf | https://www.sec.gov/Archives/edgar/data/1830029/000119312524000728/d941597dex211.htm | https://baxtel.com/data-center/cleanspark-jackson-tn</x:v>
      </x:c>
      <x:c r="H132" t="str">
        <x:v>Utility + SEC ownership chain resolves Jackson Data LLC site address; exact WGS84 still unresolved.</x:v>
      </x:c>
    </x:row>
    <x:row r="133">
      <x:c r="A133" t="str">
        <x:v>2026-09-04</x:v>
      </x:c>
      <x:c r="B133" t="str">
        <x:v>TNCAND-006</x:v>
      </x:c>
      <x:c r="C133" t="str">
        <x:v>UPDATE</x:v>
      </x:c>
      <x:c r="D133" t="str">
        <x:v>coordinates</x:v>
      </x:c>
      <x:c r="E133" t="str">
        <x:v>blank</x:v>
      </x:c>
      <x:c r="F133" t="str">
        <x:v>36.16488198, -86.78088767 | area_or_city/low | directory market pin only</x:v>
      </x:c>
      <x:c r="G133" t="str">
        <x:v>https://atmosphere-dc.com/data-centers/nashville-tn/ | https://baxtel.com/data-center/h5-data-centers-nashville-tn01 | https://baxtel.com/data-center/h5-data-centers-nashville-tn02 | https://baxtel.com/data-center/edgeconnex-nashville | https://baxtel.com/data-center/dc-blox-nashville | https://baxtel.com/data-center/lumen-nashville-2</x:v>
      </x:c>
      <x:c r="H133" t="str">
        <x:v>Low-confidence market pin added transparently; explicitly not the 38-acre development parcel.</x:v>
      </x:c>
    </x:row>
    <x:row r="134">
      <x:c r="A134" t="str">
        <x:v>2026-09-04</x:v>
      </x:c>
      <x:c r="B134" t="str">
        <x:v>TNCAND-017</x:v>
      </x:c>
      <x:c r="C134" t="str">
        <x:v>UPDATE</x:v>
      </x:c>
      <x:c r="D134" t="str">
        <x:v>parcel evidence</x:v>
      </x:c>
      <x:c r="E134" t="str">
        <x:v>178 Rainbow Rd / parcel evidence</x:v>
      </x:c>
      <x:c r="F134" t="str">
        <x:v>178 Rainbow Rd | parcel 055-022.01 | 50.48 acres | coordinates blank</x:v>
      </x:c>
      <x:c r="G134" t="str">
        <x:v>https://www.loopnet.com/property/178-rainbow-rd-mountain-city-tn-37683/47091-055%20%20%20%2002201%20000/ | https://www.zillow.com/homedetails/178-Rainbow-Rd-Mountain-City-TN-37683/299906354_zpid/</x:v>
      </x:c>
      <x:c r="H134" t="str">
        <x:v>Parcel identity strengthened; no textual WGS84 point found.</x:v>
      </x:c>
    </x:row>
    <x:row r="135">
      <x:c r="A135" t="str">
        <x:v>2026-09-07</x:v>
      </x:c>
      <x:c r="B135" t="str">
        <x:v>TNDC-006</x:v>
      </x:c>
      <x:c r="C135" t="str">
        <x:v>UPDATE</x:v>
      </x:c>
      <x:c r="D135" t="str">
        <x:v>analysis_scope</x:v>
      </x:c>
      <x:c r="E135" t="str">
        <x:v>core_data_center</x:v>
      </x:c>
      <x:c r="F135" t="str">
        <x:v>unconfirmed_candidate</x:v>
      </x:c>
      <x:c r="G135" t="str">
        <x:v>../model/data/metadata/review_queue_research_ledger.csv</x:v>
      </x:c>
      <x:c r="H135" t="str">
        <x:v>Local reporting conflicts with market listings; retain traceability but exclude from confirmed spatial presence.</x:v>
      </x:c>
    </x:row>
    <x:row r="136">
      <x:c r="A136" t="str">
        <x:v>2026-09-07</x:v>
      </x:c>
      <x:c r="B136" t="str">
        <x:v>TNDC-023</x:v>
      </x:c>
      <x:c r="C136" t="str">
        <x:v>UPDATE</x:v>
      </x:c>
      <x:c r="D136" t="str">
        <x:v>verification_note</x:v>
      </x:c>
      <x:c r="E136" t="str">
        <x:v>Local vicinity note</x:v>
      </x:c>
      <x:c r="F136" t="str">
        <x:v>Approximate-vicinity decision</x:v>
      </x:c>
      <x:c r="G136" t="str">
        <x:v>../model/data/metadata/review_queue_research_ledger.csv</x:v>
      </x:c>
      <x:c r="H136" t="str">
        <x:v>Official developer page lacks a parcel; prevent false exact-site interpretation.</x:v>
      </x:c>
    </x:row>
    <x:row r="137">
      <x:c r="A137" t="str">
        <x:v>2026-09-07</x:v>
      </x:c>
      <x:c r="B137" t="str">
        <x:v>Retired TNDC-025</x:v>
      </x:c>
      <x:c r="C137" t="str">
        <x:v>UPDATE</x:v>
      </x:c>
      <x:c r="D137" t="str">
        <x:v>Review_Pairs rationale</x:v>
      </x:c>
      <x:c r="E137" t="str">
        <x:v>blank</x:v>
      </x:c>
      <x:c r="F137" t="str">
        <x:v>No forced Colossus merge</x:v>
      </x:c>
      <x:c r="G137" t="str">
        <x:v>../model/data/metadata/review_queue_research_ledger.csv</x:v>
      </x:c>
      <x:c r="H137" t="str">
        <x:v>Generic source cannot be assigned safely to either xAI campus.</x:v>
      </x:c>
    </x:row>
    <x:row r="138">
      <x:c r="A138" t="str">
        <x:v>2026-09-07</x:v>
      </x:c>
      <x:c r="B138" t="str">
        <x:v>TNDC-037</x:v>
      </x:c>
      <x:c r="C138" t="str">
        <x:v>UPDATE</x:v>
      </x:c>
      <x:c r="D138" t="str">
        <x:v>address</x:v>
      </x:c>
      <x:c r="E138" t="str">
        <x:v>2992 Sidco Drive</x:v>
      </x:c>
      <x:c r="F138" t="str">
        <x:v>2990 Sidco Drive</x:v>
      </x:c>
      <x:c r="G138" t="str">
        <x:v>../model/data/metadata/review_queue_research_ledger.csv</x:v>
      </x:c>
      <x:c r="H138" t="str">
        <x:v>Use current Lumen route-list address; retain legacy discrepancy in note.</x:v>
      </x:c>
    </x:row>
    <x:row r="139">
      <x:c r="A139" t="str">
        <x:v>2026-09-07</x:v>
      </x:c>
      <x:c r="B139" t="str">
        <x:v>TNDC-039</x:v>
      </x:c>
      <x:c r="C139" t="str">
        <x:v>UPDATE</x:v>
      </x:c>
      <x:c r="D139" t="str">
        <x:v>operator</x:v>
      </x:c>
      <x:c r="E139" t="str">
        <x:v>Fisk University</x:v>
      </x:c>
      <x:c r="F139" t="str">
        <x:v>blank; Fisk retained as project sponsor</x:v>
      </x:c>
      <x:c r="G139" t="str">
        <x:v>../model/data/metadata/review_queue_research_ledger.csv</x:v>
      </x:c>
      <x:c r="H139" t="str">
        <x:v>Operating partner is not publicly identified.</x:v>
      </x:c>
    </x:row>
    <x:row r="140">
      <x:c r="A140" t="str">
        <x:v>2026-09-07</x:v>
      </x:c>
      <x:c r="B140" t="str">
        <x:v>TNDC-002|TNDC-009</x:v>
      </x:c>
      <x:c r="C140" t="str">
        <x:v>UPDATE</x:v>
      </x:c>
      <x:c r="D140" t="str">
        <x:v>facility mapping</x:v>
      </x:c>
      <x:c r="E140" t="str">
        <x:v>queue ambiguity</x:v>
      </x:c>
      <x:c r="F140" t="str">
        <x:v>two distinct SEC-mapped properties</x:v>
      </x:c>
      <x:c r="G140" t="str">
        <x:v>../model/data/metadata/review_queue_research_ledger.csv</x:v>
      </x:c>
      <x:c r="H140" t="str">
        <x:v>SEC evidence confirms both Crossville addresses and no merge.</x:v>
      </x:c>
    </x:row>
    <x:row r="141">
      <x:c r="A141" t="str">
        <x:v>2026-09-07</x:v>
      </x:c>
      <x:c r="B141" t="str">
        <x:v>TNDC-059</x:v>
      </x:c>
      <x:c r="C141" t="str">
        <x:v>UPDATE</x:v>
      </x:c>
      <x:c r="D141" t="str">
        <x:v>verification_class</x:v>
      </x:c>
      <x:c r="E141" t="str">
        <x:v>review</x:v>
      </x:c>
      <x:c r="F141" t="str">
        <x:v>confirmed</x:v>
      </x:c>
      <x:c r="G141" t="str">
        <x:v>../model/data/metadata/review_queue_research_ledger.csv</x:v>
      </x:c>
      <x:c r="H141" t="str">
        <x:v>Facility-facing 4280 address and broader-site 4300 permit address are explicitly distinguished.</x:v>
      </x:c>
    </x:row>
    <x:row r="142">
      <x:c r="A142" t="str">
        <x:v>2026-09-07</x:v>
      </x:c>
      <x:c r="B142" t="str">
        <x:v>TNCAND-005</x:v>
      </x:c>
      <x:c r="C142" t="str">
        <x:v>UPDATE</x:v>
      </x:c>
      <x:c r="D142" t="str">
        <x:v>review_note</x:v>
      </x:c>
      <x:c r="E142" t="str">
        <x:v>prior note</x:v>
      </x:c>
      <x:c r="F142" t="str">
        <x:v>current evidence limit recorded</x:v>
      </x:c>
      <x:c r="G142" t="str">
        <x:v>../model/data/metadata/review_queue_research_ledger.csv</x:v>
      </x:c>
      <x:c r="H142" t="str">
        <x:v>Not promoted without current operating confirmation.</x:v>
      </x:c>
    </x:row>
    <x:row r="143">
      <x:c r="A143" t="str">
        <x:v>2026-09-07</x:v>
      </x:c>
      <x:c r="B143" t="str">
        <x:v>TNCAND-006</x:v>
      </x:c>
      <x:c r="C143" t="str">
        <x:v>UPDATE</x:v>
      </x:c>
      <x:c r="D143" t="str">
        <x:v>latitude|longitude</x:v>
      </x:c>
      <x:c r="E143" t="str">
        <x:v>market pin</x:v>
      </x:c>
      <x:c r="F143" t="str">
        <x:v>blank</x:v>
      </x:c>
      <x:c r="G143" t="str">
        <x:v>../model/data/metadata/review_queue_research_ledger.csv</x:v>
      </x:c>
      <x:c r="H143" t="str">
        <x:v>No public parcel; remove physically inconsistent point from spatial use.</x:v>
      </x:c>
    </x:row>
    <x:row r="144">
      <x:c r="A144" t="str">
        <x:v>2026-09-07</x:v>
      </x:c>
      <x:c r="B144" t="str">
        <x:v>TNCAND-012</x:v>
      </x:c>
      <x:c r="C144" t="str">
        <x:v>UPDATE</x:v>
      </x:c>
      <x:c r="D144" t="str">
        <x:v>candidate_type</x:v>
      </x:c>
      <x:c r="E144" t="str">
        <x:v>unresolved_duplicate_or_new_facility</x:v>
      </x:c>
      <x:c r="F144" t="str">
        <x:v>linked_master_evidence</x:v>
      </x:c>
      <x:c r="G144" t="str">
        <x:v>../model/data/metadata/review_queue_research_ledger.csv</x:v>
      </x:c>
      <x:c r="H144" t="str">
        <x:v>Shared address links this evidence to TNDC-038.</x:v>
      </x:c>
    </x:row>
    <x:row r="145">
      <x:c r="A145" t="str">
        <x:v>2026-09-07</x:v>
      </x:c>
      <x:c r="B145" t="str">
        <x:v>TNCAND-013–016</x:v>
      </x:c>
      <x:c r="C145" t="str">
        <x:v>UPDATE</x:v>
      </x:c>
      <x:c r="D145" t="str">
        <x:v>review_note</x:v>
      </x:c>
      <x:c r="E145" t="str">
        <x:v>legacy status unclear</x:v>
      </x:c>
      <x:c r="F145" t="str">
        <x:v>primary-evidence requirement recorded</x:v>
      </x:c>
      <x:c r="G145" t="str">
        <x:v>../model/data/metadata/review_queue_research_ledger.csv</x:v>
      </x:c>
      <x:c r="H145" t="str">
        <x:v>Retained as candidates; do not promote from directory evidence alone.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44" hidden="0" customWidth="1"/>
    <x:col min="3" max="3" width="12" hidden="0" customWidth="1"/>
    <x:col min="4" max="4" width="68" hidden="0" customWidth="1"/>
  </x:cols>
  <x:sheetData>
    <x:row r="1">
      <x:c r="A1" s="133" t="str">
        <x:v>Proposal / Dataset Readiness — 2026-09-03</x:v>
      </x:c>
      <x:c r="B1" s="133"/>
      <x:c r="C1" s="133"/>
      <x:c r="D1" s="133"/>
    </x:row>
    <x:row r="2">
      <x:c r="A2" s="85"/>
      <x:c r="B2" s="85"/>
      <x:c r="C2" s="85"/>
      <x:c r="D2" s="85"/>
    </x:row>
    <x:row r="3">
      <x:c r="A3" s="104" t="str">
        <x:v>Metric</x:v>
      </x:c>
      <x:c r="B3" s="104" t="str">
        <x:v>Current state</x:v>
      </x:c>
      <x:c r="C3" s="104" t="str">
        <x:v>Status</x:v>
      </x:c>
      <x:c r="D3" s="104" t="str">
        <x:v>QA meaning</x:v>
      </x:c>
    </x:row>
    <x:row r="4">
      <x:c r="A4" s="105" t="str">
        <x:v>Tennessee facility inventory</x:v>
      </x:c>
      <x:c r="B4" s="105" t="str">
        <x:v>61 deduplicated Master entities + 16 candidates</x:v>
      </x:c>
      <x:c r="C4" s="110" t="str">
        <x:v>✅</x:v>
      </x:c>
      <x:c r="D4" s="105" t="str">
        <x:v>Master contains physical-site entities; ambiguous source identities remain outside the Master count.</x:v>
      </x:c>
    </x:row>
    <x:row r="5">
      <x:c r="A5" s="85" t="str">
        <x:v>Operating sites</x:v>
      </x:c>
      <x:c r="B5" s="85" t="str">
        <x:v>40/50 core operational</x:v>
      </x:c>
      <x:c r="C5" s="111" t="str">
        <x:v>✅</x:v>
      </x:c>
      <x:c r="D5" s="85" t="str">
        <x:v>Lifecycle is normalized only from public evidence; proposed and construction projects are not promoted to operational.</x:v>
      </x:c>
    </x:row>
    <x:row r="6">
      <x:c r="A6" s="105" t="str">
        <x:v>Announced / proposed / construction</x:v>
      </x:c>
      <x:c r="B6" s="105" t="str">
        <x:v>5 proposed + 4 under construction + 1 expanding + 1 cancelled</x:v>
      </x:c>
      <x:c r="C6" s="110" t="str">
        <x:v>✅</x:v>
      </x:c>
      <x:c r="D6" s="105" t="str">
        <x:v>Non-operational lifecycle states are explicitly represented.</x:v>
      </x:c>
    </x:row>
    <x:row r="7">
      <x:c r="A7" s="85" t="str">
        <x:v>Candidate sites</x:v>
      </x:c>
      <x:c r="B7" s="85" t="str">
        <x:v>16 deduplicated candidates</x:v>
      </x:c>
      <x:c r="C7" s="111" t="str">
        <x:v>✅</x:v>
      </x:c>
      <x:c r="D7" s="85" t="str">
        <x:v>The exact TNDC-006/TNCAND-001 cross-layer duplicate was consolidated into TNDC-006.</x:v>
      </x:c>
    </x:row>
    <x:row r="8">
      <x:c r="A8" s="105" t="str">
        <x:v>Facility status</x:v>
      </x:c>
      <x:c r="B8" s="105" t="str">
        <x:v>61/61 normalized statuses</x:v>
      </x:c>
      <x:c r="C8" s="110" t="str">
        <x:v>✅</x:v>
      </x:c>
      <x:c r="D8" s="105" t="str">
        <x:v>Every Master record uses the controlled status vocabulary.</x:v>
      </x:c>
    </x:row>
    <x:row r="9">
      <x:c r="A9" s="85" t="str">
        <x:v>Operator</x:v>
      </x:c>
      <x:c r="B9" s="85" t="str">
        <x:v>48/50 core named; remaining states explicit</x:v>
      </x:c>
      <x:c r="C9" s="111" t="str">
        <x:v>✅</x:v>
      </x:c>
      <x:c r="D9" s="85" t="str">
        <x:v>No operator is fabricated; undisclosed operators remain explicit.</x:v>
      </x:c>
    </x:row>
    <x:row r="10">
      <x:c r="A10" s="105" t="str">
        <x:v>Latitude / longitude</x:v>
      </x:c>
      <x:c r="B10" s="105" t="str">
        <x:v>35/50 core with coordinates</x:v>
      </x:c>
      <x:c r="C10" s="110" t="str">
        <x:v>⚠</x:v>
      </x:c>
      <x:c r="D10" s="105" t="str">
        <x:v>Missing coordinates remain blank; TNDC-006 retains its conflicting approximate-coordinate spread.</x:v>
      </x:c>
    </x:row>
    <x:row r="11">
      <x:c r="A11" s="85" t="str">
        <x:v>Location precision</x:v>
      </x:c>
      <x:c r="B11" s="85" t="str">
        <x:v>50/50 core rows classified</x:v>
      </x:c>
      <x:c r="C11" s="111" t="str">
        <x:v>✅</x:v>
      </x:c>
      <x:c r="D11" s="85" t="str">
        <x:v>Address/site, campus, and area/city precision are distinguished.</x:v>
      </x:c>
    </x:row>
    <x:row r="12">
      <x:c r="A12" s="105" t="str">
        <x:v>Geographic uncertainty</x:v>
      </x:c>
      <x:c r="B12" s="105" t="str">
        <x:v>Coordinate and address conflicts retained</x:v>
      </x:c>
      <x:c r="C12" s="110" t="str">
        <x:v>✅</x:v>
      </x:c>
      <x:c r="D12" s="105" t="str">
        <x:v>Uncertainty is documented instead of force-resolved.</x:v>
      </x:c>
    </x:row>
    <x:row r="13">
      <x:c r="A13" s="85" t="str">
        <x:v>Source provenance</x:v>
      </x:c>
      <x:c r="B13" s="85" t="str">
        <x:v>61/61 Master rows with evidence URLs</x:v>
      </x:c>
      <x:c r="C13" s="111" t="str">
        <x:v>✅</x:v>
      </x:c>
      <x:c r="D13" s="85" t="str">
        <x:v>All URLs from retired duplicate representations remain in retained Master, Raw_Aligned, Review_Pairs, or Change_Log records.</x:v>
      </x:c>
    </x:row>
    <x:row r="14">
      <x:c r="A14" s="105" t="str">
        <x:v>Multi-source cross-validation</x:v>
      </x:c>
      <x:c r="B14" s="105" t="str">
        <x:v>50/50 core supported by public evidence</x:v>
      </x:c>
      <x:c r="C14" s="110" t="str">
        <x:v>✅</x:v>
      </x:c>
      <x:c r="D14" s="105" t="str">
        <x:v>Distinct-address facilities are kept separate even when operator and name are similar.</x:v>
      </x:c>
    </x:row>
    <x:row r="15">
      <x:c r="A15" s="85" t="str">
        <x:v>Source-confidence score</x:v>
      </x:c>
      <x:c r="B15" s="85" t="str">
        <x:v>61/61 scored</x:v>
      </x:c>
      <x:c r="C15" s="111" t="str">
        <x:v>✅</x:v>
      </x:c>
      <x:c r="D15" s="85" t="str">
        <x:v>Candidate-grade uncertainty is explicit.</x:v>
      </x:c>
    </x:row>
    <x:row r="16">
      <x:c r="A16" s="105" t="str">
        <x:v>Backward compatibility</x:v>
      </x:c>
      <x:c r="B16" s="105" t="str">
        <x:v>A:AO preserved; schema 1.1; dataset 2026-09-03-deduplicated</x:v>
      </x:c>
      <x:c r="C16" s="110" t="str">
        <x:v>✅</x:v>
      </x:c>
      <x:c r="D16" s="105" t="str">
        <x:v>Column order is unchanged and retired IDs are auditable in Change_Log.</x:v>
      </x:c>
    </x:row>
    <x:row r="17">
      <x:c r="A17" s="85" t="str">
        <x:v>ML / map type contract</x:v>
      </x:c>
      <x:c r="B17" s="85" t="str">
        <x:v>IDs unique; pipe-delimited values deduplicated; vocabularies preserved</x:v>
      </x:c>
      <x:c r="C17" s="111" t="str">
        <x:v>✅</x:v>
      </x:c>
      <x:c r="D17" s="85" t="str">
        <x:v>Master and Candidate counts no longer double-count the two retired representations.</x:v>
      </x:c>
    </x:row>
    <x:row r="18">
      <x:c r="A18" s="85"/>
      <x:c r="B18" s="85"/>
      <x:c r="C18" s="85"/>
      <x:c r="D18" s="85"/>
    </x:row>
    <x:row r="19">
      <x:c r="A19" s="85"/>
      <x:c r="B19" s="85"/>
      <x:c r="C19" s="85"/>
      <x:c r="D19" s="85"/>
    </x:row>
    <x:row r="20">
      <x:c r="A20" s="116" t="str">
        <x:v>Review queue: 11 unresolved items remain explicitly flagged; see Review_Queue and Candidate_Sites.</x:v>
      </x:c>
      <x:c r="B20" s="116"/>
      <x:c r="C20" s="116"/>
      <x:c r="D20" s="116"/>
    </x:row>
    <x:row r="21">
      <x:c r="A21" s="102"/>
      <x:c r="B21" s="102"/>
      <x:c r="C21" s="102"/>
      <x:c r="D21" s="102"/>
    </x:row>
    <x:row r="22">
      <x:c r="A22" s="85"/>
      <x:c r="B22" s="85"/>
      <x:c r="C22" s="85"/>
      <x:c r="D22" s="85"/>
    </x:row>
    <x:row r="23">
      <x:c r="A23" s="85"/>
      <x:c r="B23" s="85"/>
      <x:c r="C23" s="85"/>
      <x:c r="D23" s="85"/>
    </x:row>
    <x:row r="24">
      <x:c r="A24" s="85"/>
      <x:c r="B24" s="85"/>
      <x:c r="C24" s="85"/>
      <x:c r="D24" s="85"/>
    </x:row>
    <x:row r="25">
      <x:c r="A25" s="85"/>
      <x:c r="B25" s="85"/>
      <x:c r="C25" s="85"/>
      <x:c r="D25" s="85"/>
    </x:row>
    <x:row r="26">
      <x:c r="A26" s="85"/>
      <x:c r="B26" s="85"/>
      <x:c r="C26" s="85"/>
      <x:c r="D26" s="85"/>
    </x:row>
  </x:sheetData>
  <x:mergeCells>
    <x:mergeCell ref="A1:D1"/>
    <x:mergeCell ref="A20:D20"/>
  </x:mergeCell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58" hidden="0" customWidth="1"/>
    <x:col min="5" max="5" width="58" hidden="0" customWidth="1"/>
    <x:col min="6" max="6" width="34" hidden="0" customWidth="1"/>
    <x:col min="7" max="7" width="14" hidden="0" customWidth="1"/>
  </x:cols>
  <x:sheetData>
    <x:row r="1">
      <x:c r="A1" s="84" t="str">
        <x:v>facility_id</x:v>
      </x:c>
      <x:c r="B1" s="84" t="str">
        <x:v>facility_name</x:v>
      </x:c>
      <x:c r="C1" s="84" t="str">
        <x:v>issue_type</x:v>
      </x:c>
      <x:c r="D1" s="84" t="str">
        <x:v>issue</x:v>
      </x:c>
      <x:c r="E1" s="84" t="str">
        <x:v>required_handling</x:v>
      </x:c>
      <x:c r="F1" s="84" t="str">
        <x:v>evidence_status</x:v>
      </x:c>
      <x:c r="G1" s="84" t="str">
        <x:v>review_priority</x:v>
      </x:c>
    </x:row>
    <x:row r="2">
      <x:c r="A2" s="85" t="str">
        <x:v>TNDC-006</x:v>
      </x:c>
      <x:c r="B2" s="85" t="str">
        <x:v>Cielo Montgomery County AI Campus</x:v>
      </x:c>
      <x:c r="C2" s="85" t="str">
        <x:v>closed_with_evidence</x:v>
      </x:c>
      <x:c r="D2" s="85" t="str">
        <x:v>Resolved in 2026-09-07 review: TNDC-006</x:v>
      </x:c>
      <x:c r="E2" s="85" t="str">
        <x:v>No open action for this dataset version. Evidence and disposition: ../model/data/metadata/review_queue_research_ledger.csv</x:v>
      </x:c>
      <x:c r="F2" s="85" t="str">
        <x:v>multiple public sources; local contradiction</x:v>
      </x:c>
      <x:c r="G2" s="85" t="str">
        <x:v>closed</x:v>
      </x:c>
    </x:row>
    <x:row r="3">
      <x:c r="A3" s="85" t="str">
        <x:v>TNDC-023</x:v>
      </x:c>
      <x:c r="B3" s="85" t="str">
        <x:v>Hixson Data Center (McMinnville)</x:v>
      </x:c>
      <x:c r="C3" s="85" t="str">
        <x:v>closed_with_evidence</x:v>
      </x:c>
      <x:c r="D3" s="85" t="str">
        <x:v>Resolved in 2026-09-07 review: TNDC-023</x:v>
      </x:c>
      <x:c r="E3" s="85" t="str">
        <x:v>No open action for this dataset version. Evidence and disposition: ../model/data/metadata/review_queue_research_ledger.csv</x:v>
      </x:c>
      <x:c r="F3" s="85" t="str">
        <x:v>source coordinate conflict retained</x:v>
      </x:c>
      <x:c r="G3" s="85" t="str">
        <x:v>closed</x:v>
      </x:c>
    </x:row>
    <x:row r="4">
      <x:c r="A4" s="85" t="str">
        <x:v>Retired TNDC-025</x:v>
      </x:c>
      <x:c r="B4" s="85" t="str">
        <x:v>Generic Colossus source identity</x:v>
      </x:c>
      <x:c r="C4" s="85" t="str">
        <x:v>closed_with_evidence</x:v>
      </x:c>
      <x:c r="D4" s="85" t="str">
        <x:v>Resolved in 2026-09-07 review: Retired TNDC-025</x:v>
      </x:c>
      <x:c r="E4" s="85" t="str">
        <x:v>No open action for this dataset version. Evidence and disposition: ../model/data/metadata/review_queue_research_ledger.csv</x:v>
      </x:c>
      <x:c r="F4" s="85" t="str">
        <x:v>all source records and URLs retained</x:v>
      </x:c>
      <x:c r="G4" s="85" t="str">
        <x:v>closed</x:v>
      </x:c>
    </x:row>
    <x:row r="5">
      <x:c r="A5" s="85" t="str">
        <x:v>TNDC-037</x:v>
      </x:c>
      <x:c r="B5" s="85" t="str">
        <x:v>Level(3)/Lumen Nashville (Sidco)</x:v>
      </x:c>
      <x:c r="C5" s="85" t="str">
        <x:v>closed_with_evidence</x:v>
      </x:c>
      <x:c r="D5" s="85" t="str">
        <x:v>Resolved in 2026-09-07 review: TNDC-037</x:v>
      </x:c>
      <x:c r="E5" s="85" t="str">
        <x:v>No open action for this dataset version. Evidence and disposition: ../model/data/metadata/review_queue_research_ledger.csv</x:v>
      </x:c>
      <x:c r="F5" s="85" t="str">
        <x:v>address contradiction</x:v>
      </x:c>
      <x:c r="G5" s="85" t="str">
        <x:v>closed</x:v>
      </x:c>
    </x:row>
    <x:row r="6">
      <x:c r="A6" s="85" t="str">
        <x:v>TNDC-039</x:v>
      </x:c>
      <x:c r="B6" s="85" t="str">
        <x:v>Quantum Leap Data Center / Fisk University</x:v>
      </x:c>
      <x:c r="C6" s="85" t="str">
        <x:v>closed_with_evidence</x:v>
      </x:c>
      <x:c r="D6" s="85" t="str">
        <x:v>Resolved in 2026-09-07 review: TNDC-039</x:v>
      </x:c>
      <x:c r="E6" s="85" t="str">
        <x:v>No open action for this dataset version. Evidence and disposition: ../model/data/metadata/review_queue_research_ledger.csv</x:v>
      </x:c>
      <x:c r="F6" s="85" t="str">
        <x:v>project verified; operator unresolved</x:v>
      </x:c>
      <x:c r="G6" s="85" t="str">
        <x:v>closed</x:v>
      </x:c>
    </x:row>
    <x:row r="7">
      <x:c r="A7" s="85" t="str">
        <x:v>TNDC-002</x:v>
      </x:c>
      <x:c r="B7" s="85" t="str">
        <x:v>CleanSpark Crossville pair</x:v>
      </x:c>
      <x:c r="C7" s="85" t="str">
        <x:v>closed_with_evidence</x:v>
      </x:c>
      <x:c r="D7" s="85" t="str">
        <x:v>Resolved in 2026-09-07 review: TNDC-002</x:v>
      </x:c>
      <x:c r="E7" s="85" t="str">
        <x:v>No open action for this dataset version. Evidence and disposition: ../model/data/metadata/review_queue_research_ledger.csv</x:v>
      </x:c>
      <x:c r="F7" s="85" t="str">
        <x:v>DataCenterMap market page retained in both records</x:v>
      </x:c>
      <x:c r="G7" s="85" t="str">
        <x:v>closed</x:v>
      </x:c>
    </x:row>
    <x:row r="8">
      <x:c r="A8" s="85" t="str">
        <x:v>TNDC-059</x:v>
      </x:c>
      <x:c r="B8" s="85" t="str">
        <x:v>5C MEM01</x:v>
      </x:c>
      <x:c r="C8" s="85" t="str">
        <x:v>closed_with_evidence</x:v>
      </x:c>
      <x:c r="D8" s="85" t="str">
        <x:v>Resolved in 2026-09-07 review: TNDC-059</x:v>
      </x:c>
      <x:c r="E8" s="85" t="str">
        <x:v>No open action for this dataset version. Evidence and disposition: ../model/data/metadata/review_queue_research_ledger.csv</x:v>
      </x:c>
      <x:c r="F8" s="85" t="str">
        <x:v>official and industry sources retained</x:v>
      </x:c>
      <x:c r="G8" s="85" t="str">
        <x:v>closed</x:v>
      </x:c>
    </x:row>
    <x:row r="9">
      <x:c r="A9" s="85" t="str">
        <x:v>TNCAND-005</x:v>
      </x:c>
      <x:c r="B9" s="85" t="str">
        <x:v>GRIID Jackson 60 MW Project</x:v>
      </x:c>
      <x:c r="C9" s="85" t="str">
        <x:v>closed_with_evidence</x:v>
      </x:c>
      <x:c r="D9" s="85" t="str">
        <x:v>Resolved in 2026-09-07 review: TNCAND-005</x:v>
      </x:c>
      <x:c r="E9" s="85" t="str">
        <x:v>No open action for this dataset version. Evidence and disposition: ../model/data/metadata/review_queue_research_ledger.csv</x:v>
      </x:c>
      <x:c r="F9" s="85" t="str">
        <x:v>announcement, acquisition, and SEC records retained</x:v>
      </x:c>
      <x:c r="G9" s="85" t="str">
        <x:v>closed</x:v>
      </x:c>
    </x:row>
    <x:row r="10">
      <x:c r="A10" s="85" t="str">
        <x:v>TNCAND-006</x:v>
      </x:c>
      <x:c r="B10" s="85" t="str">
        <x:v>Atmosphere Nashville Campus</x:v>
      </x:c>
      <x:c r="C10" s="85" t="str">
        <x:v>closed_with_evidence</x:v>
      </x:c>
      <x:c r="D10" s="85" t="str">
        <x:v>Resolved in 2026-09-07 review: TNCAND-006</x:v>
      </x:c>
      <x:c r="E10" s="85" t="str">
        <x:v>No open action for this dataset version. Evidence and disposition: ../model/data/metadata/review_queue_research_ledger.csv</x:v>
      </x:c>
      <x:c r="F10" s="85" t="str">
        <x:v>developer and trade reporting retained</x:v>
      </x:c>
      <x:c r="G10" s="85" t="str">
        <x:v>closed</x:v>
      </x:c>
    </x:row>
    <x:row r="11">
      <x:c r="A11" s="85" t="str">
        <x:v>TNCAND-012</x:v>
      </x:c>
      <x:c r="B11" s="85" t="str">
        <x:v>Scipio NREP Listing</x:v>
      </x:c>
      <x:c r="C11" s="85" t="str">
        <x:v>closed_with_evidence</x:v>
      </x:c>
      <x:c r="D11" s="85" t="str">
        <x:v>Resolved in 2026-09-07 review: TNCAND-012</x:v>
      </x:c>
      <x:c r="E11" s="85" t="str">
        <x:v>No open action for this dataset version. Evidence and disposition: ../model/data/metadata/review_queue_research_ledger.csv</x:v>
      </x:c>
      <x:c r="F11" s="85" t="str">
        <x:v>market directory and operator support page retained</x:v>
      </x:c>
      <x:c r="G11" s="85" t="str">
        <x:v>closed</x:v>
      </x:c>
    </x:row>
    <x:row r="12">
      <x:c r="A12" s="85" t="str">
        <x:v>TNCAND-013–016</x:v>
      </x:c>
      <x:c r="B12" s="85" t="str">
        <x:v>Legacy operational listings</x:v>
      </x:c>
      <x:c r="C12" s="85" t="str">
        <x:v>closed_with_evidence</x:v>
      </x:c>
      <x:c r="D12" s="85" t="str">
        <x:v>Resolved in 2026-09-07 review: TNCAND-013–016</x:v>
      </x:c>
      <x:c r="E12" s="85" t="str">
        <x:v>No open action for this dataset version. Evidence and disposition: ../model/data/metadata/review_queue_research_ledger.csv</x:v>
      </x:c>
      <x:c r="F12" s="85" t="str">
        <x:v>all supporting URLs retained in Candidate_Sites</x:v>
      </x:c>
      <x:c r="G12" s="85" t="str">
        <x:v>closed</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14" hidden="0" customWidth="1"/>
    <x:col min="3" max="3" width="38" hidden="0" customWidth="1"/>
    <x:col min="4" max="4" width="16" hidden="0" customWidth="1"/>
    <x:col min="5" max="5" width="36" hidden="0" customWidth="1"/>
    <x:col min="6" max="6" width="15" hidden="0" customWidth="1"/>
    <x:col min="7" max="7" width="15" hidden="0" customWidth="1"/>
    <x:col min="8" max="8" width="19" hidden="0" customWidth="1"/>
    <x:col min="9" max="9" width="19" hidden="0" customWidth="1"/>
    <x:col min="10" max="10" width="38" hidden="0" customWidth="1"/>
    <x:col min="11" max="11" width="24" hidden="0" customWidth="1"/>
    <x:col min="12" max="12" width="58" hidden="0" customWidth="1"/>
  </x:cols>
  <x:sheetData>
    <x:row r="1">
      <x:c r="A1" s="143" t="str">
        <x:v>record_type</x:v>
      </x:c>
      <x:c r="B1" s="143" t="str">
        <x:v>record_id</x:v>
      </x:c>
      <x:c r="C1" s="143" t="str">
        <x:v>name</x:v>
      </x:c>
      <x:c r="D1" s="143" t="str">
        <x:v>city</x:v>
      </x:c>
      <x:c r="E1" s="143" t="str">
        <x:v>address</x:v>
      </x:c>
      <x:c r="F1" s="143" t="str">
        <x:v>latitude</x:v>
      </x:c>
      <x:c r="G1" s="143" t="str">
        <x:v>longitude</x:v>
      </x:c>
      <x:c r="H1" s="143" t="str">
        <x:v>location_precision</x:v>
      </x:c>
      <x:c r="I1" s="143" t="str">
        <x:v>location_confidence</x:v>
      </x:c>
      <x:c r="J1" s="143" t="str">
        <x:v>remaining_gap</x:v>
      </x:c>
      <x:c r="K1" s="143" t="str">
        <x:v>audit_status</x:v>
      </x:c>
      <x:c r="L1" s="143" t="str">
        <x:v>audit_note</x:v>
      </x:c>
    </x:row>
    <x:row r="2">
      <x:c r="A2" s="85" t="str">
        <x:v>Master</x:v>
      </x:c>
      <x:c r="B2" s="85" t="str">
        <x:v>TNDC-001</x:v>
      </x:c>
      <x:c r="C2" s="85" t="str">
        <x:v>Flexential - Nashville/Brentwood (NAS01/04)</x:v>
      </x:c>
      <x:c r="D2" s="85" t="str">
        <x:v>Brentwood</x:v>
      </x:c>
      <x:c r="E2" s="85" t="str">
        <x:v>7100 Commerce Way, Suite 25,</x:v>
      </x:c>
      <x:c r="F2" s="85" t="n">
        <x:v>35.972453</x:v>
      </x:c>
      <x:c r="G2" s="85" t="n">
        <x:v>-86.808748</x:v>
      </x:c>
      <x:c r="H2" s="85" t="str">
        <x:v>address_or_site</x:v>
      </x:c>
      <x:c r="I2" s="85" t="str">
        <x:v>high</x:v>
      </x:c>
      <x:c r="J2" s="85" t="str"/>
      <x:c r="K2" s="85" t="str">
        <x:v>RESOLVED</x:v>
      </x:c>
      <x:c r="L2" s="85" t="str">
        <x:v>Address/site-level location fully populated at high confidence.</x:v>
      </x:c>
    </x:row>
    <x:row r="3">
      <x:c r="A3" s="85" t="str">
        <x:v>Master</x:v>
      </x:c>
      <x:c r="B3" s="85" t="str">
        <x:v>TNDC-002</x:v>
      </x:c>
      <x:c r="C3" s="85" t="str">
        <x:v>CleanSpark Campbell Junction Bitcoin Mining Facility</x:v>
      </x:c>
      <x:c r="D3" s="85" t="str">
        <x:v>Crossville</x:v>
      </x:c>
      <x:c r="E3" s="85" t="str">
        <x:v>5784 Plateau Rd</x:v>
      </x:c>
      <x:c r="F3" s="85" t="n">
        <x:v>36.0436</x:v>
      </x:c>
      <x:c r="G3" s="85" t="n">
        <x:v>-85.1692</x:v>
      </x:c>
      <x:c r="H3" s="85" t="str">
        <x:v>approximate</x:v>
      </x:c>
      <x:c r="I3" s="85" t="str">
        <x:v>medium</x:v>
      </x:c>
      <x:c r="J3" s="85" t="str"/>
      <x:c r="K3" s="85" t="str">
        <x:v>COMPLIANT_PARTIAL</x:v>
      </x:c>
      <x:c r="L3" s="85" t="str">
        <x:v>Coordinate populated with explicit non-exact precision/confidence and provenance.</x:v>
      </x:c>
    </x:row>
    <x:row r="4">
      <x:c r="A4" s="85" t="str">
        <x:v>Master</x:v>
      </x:c>
      <x:c r="B4" s="85" t="str">
        <x:v>TNDC-003</x:v>
      </x:c>
      <x:c r="C4" s="85" t="str">
        <x:v>DC BLOX CHA1 - DCBLOX Chattanooga</x:v>
      </x:c>
      <x:c r="D4" s="85" t="str">
        <x:v>Chattanooga</x:v>
      </x:c>
      <x:c r="E4" s="85" t="str">
        <x:v>807 E 16th St</x:v>
      </x:c>
      <x:c r="F4" s="85" t="n">
        <x:v>35.03158</x:v>
      </x:c>
      <x:c r="G4" s="85" t="n">
        <x:v>-85.2973</x:v>
      </x:c>
      <x:c r="H4" s="85" t="str">
        <x:v>address_or_site</x:v>
      </x:c>
      <x:c r="I4" s="85" t="str">
        <x:v>high</x:v>
      </x:c>
      <x:c r="J4" s="85" t="str"/>
      <x:c r="K4" s="85" t="str">
        <x:v>RESOLVED</x:v>
      </x:c>
      <x:c r="L4" s="85" t="str">
        <x:v>Address/site-level location fully populated at high confidence.</x:v>
      </x:c>
    </x:row>
    <x:row r="5">
      <x:c r="A5" s="85" t="str">
        <x:v>Master</x:v>
      </x:c>
      <x:c r="B5" s="85" t="str">
        <x:v>TNDC-004</x:v>
      </x:c>
      <x:c r="C5" s="85" t="str">
        <x:v>Jailhouse Studios (former Hamilton County Jail)</x:v>
      </x:c>
      <x:c r="D5" s="85" t="str">
        <x:v>Chattanooga</x:v>
      </x:c>
      <x:c r="E5" s="85" t="str">
        <x:v>601 Walnut St</x:v>
      </x:c>
      <x:c r="F5" s="85" t="n">
        <x:v>35.049557</x:v>
      </x:c>
      <x:c r="G5" s="85" t="n">
        <x:v>-85.30803</x:v>
      </x:c>
      <x:c r="H5" s="85" t="str">
        <x:v>address_or_site</x:v>
      </x:c>
      <x:c r="I5" s="85" t="str">
        <x:v>high</x:v>
      </x:c>
      <x:c r="J5" s="85" t="str"/>
      <x:c r="K5" s="85" t="str">
        <x:v>RESOLVED</x:v>
      </x:c>
      <x:c r="L5" s="85" t="str">
        <x:v>Address/site-level location fully populated at high confidence.</x:v>
      </x:c>
    </x:row>
    <x:row r="6">
      <x:c r="A6" s="85" t="str">
        <x:v>Master</x:v>
      </x:c>
      <x:c r="B6" s="85" t="str">
        <x:v>TNDC-005</x:v>
      </x:c>
      <x:c r="C6" s="85" t="str">
        <x:v>Peace Communications CHA1</x:v>
      </x:c>
      <x:c r="D6" s="85" t="str">
        <x:v>Chattanooga</x:v>
      </x:c>
      <x:c r="E6" s="85" t="str">
        <x:v>1100 E 11th Street</x:v>
      </x:c>
      <x:c r="F6" s="85" t="n">
        <x:v>35.03746</x:v>
      </x:c>
      <x:c r="G6" s="85" t="n">
        <x:v>-85.293181</x:v>
      </x:c>
      <x:c r="H6" s="85" t="str">
        <x:v>address_or_site</x:v>
      </x:c>
      <x:c r="I6" s="85" t="str">
        <x:v>high</x:v>
      </x:c>
      <x:c r="J6" s="85" t="str"/>
      <x:c r="K6" s="85" t="str">
        <x:v>RESOLVED</x:v>
      </x:c>
      <x:c r="L6" s="85" t="str">
        <x:v>Address/site-level location fully populated at high confidence.</x:v>
      </x:c>
    </x:row>
    <x:row r="7">
      <x:c r="A7" s="85" t="str">
        <x:v>Master</x:v>
      </x:c>
      <x:c r="B7" s="85" t="str">
        <x:v>TNDC-006</x:v>
      </x:c>
      <x:c r="C7" s="85" t="str">
        <x:v>Cielo Montgomery County AI Campus</x:v>
      </x:c>
      <x:c r="D7" s="85" t="str">
        <x:v>Clarksville</x:v>
      </x:c>
      <x:c r="E7" s="85"/>
      <x:c r="F7" s="85" t="n">
        <x:v>36.53</x:v>
      </x:c>
      <x:c r="G7" s="85" t="n">
        <x:v>-87.36</x:v>
      </x:c>
      <x:c r="H7" s="85" t="str">
        <x:v>area_or_city</x:v>
      </x:c>
      <x:c r="I7" s="85" t="str">
        <x:v>low</x:v>
      </x:c>
      <x:c r="J7" s="85" t="str">
        <x:v>unconfirmed_project_and_exact_site</x:v>
      </x:c>
      <x:c r="K7" s="85" t="str">
        <x:v>EXCLUDED_UNCONFIRMED</x:v>
      </x:c>
      <x:c r="L7" s="85" t="str">
        <x:v>Cielo is retained for source traceability only; local reporting conflicts with market listings. Excluded from confirmed spatial presence.</x:v>
      </x:c>
    </x:row>
    <x:row r="8">
      <x:c r="A8" s="85" t="str">
        <x:v>Master</x:v>
      </x:c>
      <x:c r="B8" s="85" t="str">
        <x:v>TNDC-007</x:v>
      </x:c>
      <x:c r="C8" s="85" t="str">
        <x:v>Google Montgomery County Data Center</x:v>
      </x:c>
      <x:c r="D8" s="85" t="str">
        <x:v>Clarksville</x:v>
      </x:c>
      <x:c r="E8" s="85" t="str">
        <x:v>1000 Boolean Dr</x:v>
      </x:c>
      <x:c r="F8" s="85" t="n">
        <x:v>36.62078</x:v>
      </x:c>
      <x:c r="G8" s="85" t="n">
        <x:v>-87.2622</x:v>
      </x:c>
      <x:c r="H8" s="85" t="str">
        <x:v>address_or_site</x:v>
      </x:c>
      <x:c r="I8" s="85" t="str">
        <x:v>high</x:v>
      </x:c>
      <x:c r="J8" s="85" t="str"/>
      <x:c r="K8" s="85" t="str">
        <x:v>RESOLVED</x:v>
      </x:c>
      <x:c r="L8" s="85" t="str">
        <x:v>Address/site-level location fully populated at high confidence.</x:v>
      </x:c>
    </x:row>
    <x:row r="9">
      <x:c r="A9" s="85" t="str">
        <x:v>Master</x:v>
      </x:c>
      <x:c r="B9" s="85" t="str">
        <x:v>TNDC-008</x:v>
      </x:c>
      <x:c r="C9" s="85" t="str">
        <x:v>Collierville Enterprise Data Center (FedEx World Technology Center Campus)</x:v>
      </x:c>
      <x:c r="D9" s="85" t="str">
        <x:v>Collierville</x:v>
      </x:c>
      <x:c r="E9" s="85" t="str">
        <x:v>9 FedEx Pkwy</x:v>
      </x:c>
      <x:c r="F9" s="85" t="n">
        <x:v>35.04204</x:v>
      </x:c>
      <x:c r="G9" s="85" t="n">
        <x:v>-89.66453</x:v>
      </x:c>
      <x:c r="H9" s="85" t="str">
        <x:v>address_or_site</x:v>
      </x:c>
      <x:c r="I9" s="85" t="str">
        <x:v>high</x:v>
      </x:c>
      <x:c r="J9" s="85" t="str"/>
      <x:c r="K9" s="85" t="str">
        <x:v>RESOLVED</x:v>
      </x:c>
      <x:c r="L9" s="85" t="str">
        <x:v>Address/site-level location fully populated at high confidence.</x:v>
      </x:c>
    </x:row>
    <x:row r="10">
      <x:c r="A10" s="85" t="str">
        <x:v>Master</x:v>
      </x:c>
      <x:c r="B10" s="85" t="str">
        <x:v>TNDC-009</x:v>
      </x:c>
      <x:c r="C10" s="85" t="str">
        <x:v>CleanSpark West Crossville Bitcoin Mining Facility</x:v>
      </x:c>
      <x:c r="D10" s="85" t="str">
        <x:v>Crossville</x:v>
      </x:c>
      <x:c r="E10" s="85" t="str">
        <x:v>268 Sparta Hwy</x:v>
      </x:c>
      <x:c r="F10" s="85" t="n">
        <x:v>35.9487</x:v>
      </x:c>
      <x:c r="G10" s="85" t="n">
        <x:v>-85.0269</x:v>
      </x:c>
      <x:c r="H10" s="85" t="str">
        <x:v>approximate</x:v>
      </x:c>
      <x:c r="I10" s="85" t="str">
        <x:v>medium</x:v>
      </x:c>
      <x:c r="J10" s="85" t="str"/>
      <x:c r="K10" s="85" t="str">
        <x:v>COMPLIANT_PARTIAL</x:v>
      </x:c>
      <x:c r="L10" s="85" t="str">
        <x:v>Coordinate populated with explicit non-exact precision/confidence and provenance.</x:v>
      </x:c>
    </x:row>
    <x:row r="11">
      <x:c r="A11" s="85" t="str">
        <x:v>Master</x:v>
      </x:c>
      <x:c r="B11" s="85" t="str">
        <x:v>TNDC-010</x:v>
      </x:c>
      <x:c r="C11" s="85" t="str">
        <x:v>CleanSpark Decatur Bitcoin Mining Facility</x:v>
      </x:c>
      <x:c r="D11" s="85" t="str">
        <x:v>Decatur</x:v>
      </x:c>
      <x:c r="E11" s="85"/>
      <x:c r="F11" s="85" t="n">
        <x:v>35.5148</x:v>
      </x:c>
      <x:c r="G11" s="85" t="n">
        <x:v>-84.7902</x:v>
      </x:c>
      <x:c r="H11" s="85" t="str">
        <x:v>approximate</x:v>
      </x:c>
      <x:c r="I11" s="85" t="str">
        <x:v>medium</x:v>
      </x:c>
      <x:c r="J11" s="85" t="str">
        <x:v>address | postal_code</x:v>
      </x:c>
      <x:c r="K11" s="85" t="str">
        <x:v>COMPLIANT_PARTIAL</x:v>
      </x:c>
      <x:c r="L11" s="85" t="str">
        <x:v>Coordinate populated with explicit non-exact precision/confidence and provenance.</x:v>
      </x:c>
    </x:row>
    <x:row r="12">
      <x:c r="A12" s="85" t="str">
        <x:v>Master</x:v>
      </x:c>
      <x:c r="B12" s="85" t="str">
        <x:v>TNDC-011</x:v>
      </x:c>
      <x:c r="C12" s="85" t="str">
        <x:v>Flexential - Nashville/Cool Springs (NAS02/03)</x:v>
      </x:c>
      <x:c r="D12" s="85" t="str">
        <x:v>Franklin</x:v>
      </x:c>
      <x:c r="E12" s="85" t="str">
        <x:v>425 Duke Drive, Suite 400</x:v>
      </x:c>
      <x:c r="F12" s="85" t="n">
        <x:v>35.951091</x:v>
      </x:c>
      <x:c r="G12" s="85" t="n">
        <x:v>-86.833251</x:v>
      </x:c>
      <x:c r="H12" s="85" t="str">
        <x:v>address_or_site</x:v>
      </x:c>
      <x:c r="I12" s="85" t="str">
        <x:v>high</x:v>
      </x:c>
      <x:c r="J12" s="85" t="str"/>
      <x:c r="K12" s="85" t="str">
        <x:v>RESOLVED</x:v>
      </x:c>
      <x:c r="L12" s="85" t="str">
        <x:v>Address/site-level location fully populated at high confidence.</x:v>
      </x:c>
    </x:row>
    <x:row r="13">
      <x:c r="A13" s="85" t="str">
        <x:v>Master</x:v>
      </x:c>
      <x:c r="B13" s="85" t="str">
        <x:v>TNDC-012</x:v>
      </x:c>
      <x:c r="C13" s="85" t="str">
        <x:v>Flexential - Nashville/Franklin (NAS05/06)</x:v>
      </x:c>
      <x:c r="D13" s="85" t="str">
        <x:v>Franklin</x:v>
      </x:c>
      <x:c r="E13" s="85" t="str">
        <x:v>4600 Carothers Parkway</x:v>
      </x:c>
      <x:c r="F13" s="85" t="n">
        <x:v>35.92028</x:v>
      </x:c>
      <x:c r="G13" s="85" t="n">
        <x:v>-86.815618</x:v>
      </x:c>
      <x:c r="H13" s="85" t="str">
        <x:v>address_or_site</x:v>
      </x:c>
      <x:c r="I13" s="85" t="str">
        <x:v>high</x:v>
      </x:c>
      <x:c r="J13" s="85" t="str"/>
      <x:c r="K13" s="85" t="str">
        <x:v>RESOLVED</x:v>
      </x:c>
      <x:c r="L13" s="85" t="str">
        <x:v>Address/site-level location fully populated at high confidence.</x:v>
      </x:c>
    </x:row>
    <x:row r="14">
      <x:c r="A14" s="85" t="str">
        <x:v>Master</x:v>
      </x:c>
      <x:c r="B14" s="85" t="str">
        <x:v>TNDC-013</x:v>
      </x:c>
      <x:c r="C14" s="85" t="str">
        <x:v>TierPoint Nashville</x:v>
      </x:c>
      <x:c r="D14" s="85" t="str">
        <x:v>Franklin</x:v>
      </x:c>
      <x:c r="E14" s="85" t="str">
        <x:v>311 Eddy Lane</x:v>
      </x:c>
      <x:c r="F14" s="85" t="n">
        <x:v>35.924575</x:v>
      </x:c>
      <x:c r="G14" s="85" t="n">
        <x:v>-86.85582</x:v>
      </x:c>
      <x:c r="H14" s="85" t="str">
        <x:v>address_or_site</x:v>
      </x:c>
      <x:c r="I14" s="85" t="str">
        <x:v>high</x:v>
      </x:c>
      <x:c r="J14" s="85" t="str"/>
      <x:c r="K14" s="85" t="str">
        <x:v>RESOLVED</x:v>
      </x:c>
      <x:c r="L14" s="85" t="str">
        <x:v>Address/site-level location fully populated at high confidence.</x:v>
      </x:c>
    </x:row>
    <x:row r="15">
      <x:c r="A15" s="85" t="str">
        <x:v>Master</x:v>
      </x:c>
      <x:c r="B15" s="85" t="str">
        <x:v>TNDC-014</x:v>
      </x:c>
      <x:c r="C15" s="85" t="str">
        <x:v>Centersquare Gallatin (NAS) Campus</x:v>
      </x:c>
      <x:c r="D15" s="85" t="str">
        <x:v>Gallatin</x:v>
      </x:c>
      <x:c r="E15" s="85" t="str">
        <x:v>1398 Gateway Dr</x:v>
      </x:c>
      <x:c r="F15" s="85" t="n">
        <x:v>36.40406</x:v>
      </x:c>
      <x:c r="G15" s="85" t="n">
        <x:v>-86.39812</x:v>
      </x:c>
      <x:c r="H15" s="85" t="str">
        <x:v>exact</x:v>
      </x:c>
      <x:c r="I15" s="85" t="str">
        <x:v>high</x:v>
      </x:c>
      <x:c r="J15" s="85" t="str"/>
      <x:c r="K15" s="85" t="str">
        <x:v>RESOLVED</x:v>
      </x:c>
      <x:c r="L15" s="85" t="str">
        <x:v>Address/site-level location fully populated at high confidence.</x:v>
      </x:c>
    </x:row>
    <x:row r="16">
      <x:c r="A16" s="85" t="str">
        <x:v>Master</x:v>
      </x:c>
      <x:c r="B16" s="85" t="str">
        <x:v>TNDC-015</x:v>
      </x:c>
      <x:c r="C16" s="85" t="str">
        <x:v>Meta Gallatin Data Center Campus</x:v>
      </x:c>
      <x:c r="D16" s="85" t="str">
        <x:v>Gallatin</x:v>
      </x:c>
      <x:c r="E16" s="85" t="str">
        <x:v>One Meta Lp</x:v>
      </x:c>
      <x:c r="F16" s="85" t="n">
        <x:v>36.41011</x:v>
      </x:c>
      <x:c r="G16" s="85" t="n">
        <x:v>-86.3724</x:v>
      </x:c>
      <x:c r="H16" s="85" t="str">
        <x:v>address_or_site</x:v>
      </x:c>
      <x:c r="I16" s="85" t="str">
        <x:v>medium</x:v>
      </x:c>
      <x:c r="J16" s="85" t="str"/>
      <x:c r="K16" s="85" t="str">
        <x:v>COMPLIANT_PARTIAL</x:v>
      </x:c>
      <x:c r="L16" s="85" t="str">
        <x:v>Coordinate populated with explicit non-exact precision/confidence and provenance.</x:v>
      </x:c>
    </x:row>
    <x:row r="17">
      <x:c r="A17" s="85" t="str">
        <x:v>Master</x:v>
      </x:c>
      <x:c r="B17" s="85" t="str">
        <x:v>TNDC-016</x:v>
      </x:c>
      <x:c r="C17" s="85" t="str">
        <x:v>CleanSpark Jellico Bitcoin Mining Facility</x:v>
      </x:c>
      <x:c r="D17" s="85" t="str">
        <x:v>Jellico</x:v>
      </x:c>
      <x:c r="E17" s="85" t="str">
        <x:v>131-181 Douglas Ln</x:v>
      </x:c>
      <x:c r="F17" s="85" t="n">
        <x:v>36.5825</x:v>
      </x:c>
      <x:c r="G17" s="85" t="n">
        <x:v>-84.1306</x:v>
      </x:c>
      <x:c r="H17" s="85" t="str">
        <x:v>approximate</x:v>
      </x:c>
      <x:c r="I17" s="85" t="str">
        <x:v>medium</x:v>
      </x:c>
      <x:c r="J17" s="85" t="str"/>
      <x:c r="K17" s="85" t="str">
        <x:v>COMPLIANT_PARTIAL</x:v>
      </x:c>
      <x:c r="L17" s="85" t="str">
        <x:v>Coordinate populated with explicit non-exact precision/confidence and provenance.</x:v>
      </x:c>
    </x:row>
    <x:row r="18">
      <x:c r="A18" s="85" t="str">
        <x:v>Master</x:v>
      </x:c>
      <x:c r="B18" s="85" t="str">
        <x:v>TNDC-017</x:v>
      </x:c>
      <x:c r="C18" s="85" t="str">
        <x:v>Bitdeer Knoxville AI Datacenter (5101 S. National Drive)</x:v>
      </x:c>
      <x:c r="D18" s="85" t="str">
        <x:v>Knoxville</x:v>
      </x:c>
      <x:c r="E18" s="85" t="str">
        <x:v>5101 S National Dr</x:v>
      </x:c>
      <x:c r="F18" s="85" t="n">
        <x:v>35.941272</x:v>
      </x:c>
      <x:c r="G18" s="85" t="n">
        <x:v>-83.836066</x:v>
      </x:c>
      <x:c r="H18" s="85" t="str">
        <x:v>address_or_site</x:v>
      </x:c>
      <x:c r="I18" s="85" t="str">
        <x:v>high</x:v>
      </x:c>
      <x:c r="J18" s="85" t="str"/>
      <x:c r="K18" s="85" t="str">
        <x:v>RESOLVED</x:v>
      </x:c>
      <x:c r="L18" s="85" t="str">
        <x:v>Address/site-level location fully populated at high confidence.</x:v>
      </x:c>
    </x:row>
    <x:row r="19">
      <x:c r="A19" s="85" t="str">
        <x:v>Master</x:v>
      </x:c>
      <x:c r="B19" s="85" t="str">
        <x:v>TNDC-018</x:v>
      </x:c>
      <x:c r="C19" s="85" t="str">
        <x:v>Peace Communications KNX1</x:v>
      </x:c>
      <x:c r="D19" s="85" t="str">
        <x:v>Knoxville</x:v>
      </x:c>
      <x:c r="E19" s="85" t="str">
        <x:v>500 W. Summit Hill</x:v>
      </x:c>
      <x:c r="F19" s="85" t="n">
        <x:v>35.965586</x:v>
      </x:c>
      <x:c r="G19" s="85" t="n">
        <x:v>-83.921438</x:v>
      </x:c>
      <x:c r="H19" s="85" t="str">
        <x:v>address_or_site</x:v>
      </x:c>
      <x:c r="I19" s="85" t="str">
        <x:v>high</x:v>
      </x:c>
      <x:c r="J19" s="85" t="str"/>
      <x:c r="K19" s="85" t="str">
        <x:v>RESOLVED</x:v>
      </x:c>
      <x:c r="L19" s="85" t="str">
        <x:v>Address/site-level location fully populated at high confidence.</x:v>
      </x:c>
    </x:row>
    <x:row r="20">
      <x:c r="A20" s="85" t="str">
        <x:v>Master</x:v>
      </x:c>
      <x:c r="B20" s="85" t="str">
        <x:v>TNDC-019</x:v>
      </x:c>
      <x:c r="C20" s="85" t="str">
        <x:v>CleanSpark Lenoir City Bitcoin Mining Facility</x:v>
      </x:c>
      <x:c r="D20" s="85" t="str">
        <x:v>Lenoir City</x:v>
      </x:c>
      <x:c r="E20" s="85" t="str">
        <x:v>14250 Hickory Creek Rd</x:v>
      </x:c>
      <x:c r="F20" s="85" t="n">
        <x:v>35.7973</x:v>
      </x:c>
      <x:c r="G20" s="85" t="n">
        <x:v>-84.256</x:v>
      </x:c>
      <x:c r="H20" s="85" t="str">
        <x:v>approximate</x:v>
      </x:c>
      <x:c r="I20" s="85" t="str">
        <x:v>medium</x:v>
      </x:c>
      <x:c r="J20" s="85" t="str"/>
      <x:c r="K20" s="85" t="str">
        <x:v>COMPLIANT_PARTIAL</x:v>
      </x:c>
      <x:c r="L20" s="85" t="str">
        <x:v>Coordinate populated with explicit non-exact precision/confidence and provenance.</x:v>
      </x:c>
    </x:row>
    <x:row r="21">
      <x:c r="A21" s="85" t="str">
        <x:v>Master</x:v>
      </x:c>
      <x:c r="B21" s="85" t="str">
        <x:v>TNDC-020</x:v>
      </x:c>
      <x:c r="C21" s="85" t="str">
        <x:v>CleanSpark Limestone Bitcoin Mining Facility (closed 2026)</x:v>
      </x:c>
      <x:c r="D21" s="85" t="str">
        <x:v>Limestone</x:v>
      </x:c>
      <x:c r="E21" s="85"/>
      <x:c r="F21" s="85" t="n">
        <x:v>36.2235</x:v>
      </x:c>
      <x:c r="G21" s="85" t="n">
        <x:v>-82.625</x:v>
      </x:c>
      <x:c r="H21" s="85" t="str">
        <x:v>approximate</x:v>
      </x:c>
      <x:c r="I21" s="85" t="str">
        <x:v>medium</x:v>
      </x:c>
      <x:c r="J21" s="85" t="str">
        <x:v>address | postal_code</x:v>
      </x:c>
      <x:c r="K21" s="85" t="str">
        <x:v>COMPLIANT_PARTIAL</x:v>
      </x:c>
      <x:c r="L21" s="85" t="str">
        <x:v>Coordinate populated with explicit non-exact precision/confidence and provenance.</x:v>
      </x:c>
    </x:row>
    <x:row r="22">
      <x:c r="A22" s="85" t="str">
        <x:v>Master</x:v>
      </x:c>
      <x:c r="B22" s="85" t="str">
        <x:v>TNDC-021</x:v>
      </x:c>
      <x:c r="C22" s="85" t="str">
        <x:v>Arnold Air Force Base Data Center</x:v>
      </x:c>
      <x:c r="D22" s="85" t="str">
        <x:v>Manchester</x:v>
      </x:c>
      <x:c r="E22" s="85"/>
      <x:c r="F22" s="85" t="n">
        <x:v>35.37539</x:v>
      </x:c>
      <x:c r="G22" s="85" t="n">
        <x:v>-86.07293</x:v>
      </x:c>
      <x:c r="H22" s="85" t="str">
        <x:v>approximate_site</x:v>
      </x:c>
      <x:c r="I22" s="85" t="str">
        <x:v>medium</x:v>
      </x:c>
      <x:c r="J22" s="85" t="str">
        <x:v>address</x:v>
      </x:c>
      <x:c r="K22" s="85" t="str">
        <x:v>COMPLIANT_PARTIAL</x:v>
      </x:c>
      <x:c r="L22" s="85" t="str">
        <x:v>Coordinate populated with explicit non-exact precision/confidence and provenance.</x:v>
      </x:c>
    </x:row>
    <x:row r="23">
      <x:c r="A23" s="85" t="str">
        <x:v>Master</x:v>
      </x:c>
      <x:c r="B23" s="85" t="str">
        <x:v>TNDC-022</x:v>
      </x:c>
      <x:c r="C23" s="85" t="str">
        <x:v>CleanSpark Maynardville Bitcoin Mining Facility</x:v>
      </x:c>
      <x:c r="D23" s="85" t="str">
        <x:v>Maynardville</x:v>
      </x:c>
      <x:c r="E23" s="85"/>
      <x:c r="F23" s="85" t="n">
        <x:v>36.2506</x:v>
      </x:c>
      <x:c r="G23" s="85" t="n">
        <x:v>-83.7974</x:v>
      </x:c>
      <x:c r="H23" s="85" t="str">
        <x:v>approximate</x:v>
      </x:c>
      <x:c r="I23" s="85" t="str">
        <x:v>medium</x:v>
      </x:c>
      <x:c r="J23" s="85" t="str">
        <x:v>address | postal_code</x:v>
      </x:c>
      <x:c r="K23" s="85" t="str">
        <x:v>COMPLIANT_PARTIAL</x:v>
      </x:c>
      <x:c r="L23" s="85" t="str">
        <x:v>Coordinate populated with explicit non-exact precision/confidence and provenance.</x:v>
      </x:c>
    </x:row>
    <x:row r="24">
      <x:c r="A24" s="85" t="str">
        <x:v>Master</x:v>
      </x:c>
      <x:c r="B24" s="85" t="str">
        <x:v>TNDC-023</x:v>
      </x:c>
      <x:c r="C24" s="85" t="str">
        <x:v>Hixson Data Center (McMinnville)</x:v>
      </x:c>
      <x:c r="D24" s="85" t="str">
        <x:v>McMinnville</x:v>
      </x:c>
      <x:c r="E24" s="85" t="str">
        <x:v>191 Industrial Dr vicinity</x:v>
      </x:c>
      <x:c r="F24" s="85" t="n">
        <x:v>35.718937</x:v>
      </x:c>
      <x:c r="G24" s="85" t="n">
        <x:v>-85.83887</x:v>
      </x:c>
      <x:c r="H24" s="85" t="str">
        <x:v>approximate_site</x:v>
      </x:c>
      <x:c r="I24" s="85" t="str">
        <x:v>medium</x:v>
      </x:c>
      <x:c r="J24" s="85" t="str">
        <x:v>exact_parcel</x:v>
      </x:c>
      <x:c r="K24" s="85" t="str">
        <x:v>APPROXIMATE_VICINITY</x:v>
      </x:c>
      <x:c r="L24" s="85" t="str">
        <x:v>Hixson confirms McMinnville/Warren County but has not published a parcel. 191 Industrial Dr is a local-reporting vicinity only.</x:v>
      </x:c>
    </x:row>
    <x:row r="25">
      <x:c r="A25" s="85" t="str">
        <x:v>Master</x:v>
      </x:c>
      <x:c r="B25" s="85" t="str">
        <x:v>TNDC-024</x:v>
      </x:c>
      <x:c r="C25" s="85" t="str">
        <x:v>Litewire McMinnville (former A.O. Smith Building)</x:v>
      </x:c>
      <x:c r="D25" s="85" t="str">
        <x:v>McMinnville</x:v>
      </x:c>
      <x:c r="E25" s="85" t="str">
        <x:v>204 Red Rd, Ste 200</x:v>
      </x:c>
      <x:c r="F25" s="85" t="n">
        <x:v>35.69221</x:v>
      </x:c>
      <x:c r="G25" s="85" t="n">
        <x:v>-85.7619</x:v>
      </x:c>
      <x:c r="H25" s="85" t="str">
        <x:v>exact</x:v>
      </x:c>
      <x:c r="I25" s="85" t="str">
        <x:v>high</x:v>
      </x:c>
      <x:c r="J25" s="85" t="str"/>
      <x:c r="K25" s="85" t="str">
        <x:v>RESOLVED</x:v>
      </x:c>
      <x:c r="L25" s="85" t="str">
        <x:v>Address/site-level location fully populated at high confidence.</x:v>
      </x:c>
    </x:row>
    <x:row r="26">
      <x:c r="A26" s="85" t="str">
        <x:v>Master</x:v>
      </x:c>
      <x:c r="B26" s="85" t="str">
        <x:v>TNDC-026</x:v>
      </x:c>
      <x:c r="C26" s="85" t="str">
        <x:v>DataBank Memphis (MEM1)</x:v>
      </x:c>
      <x:c r="D26" s="85" t="str">
        <x:v>Memphis</x:v>
      </x:c>
      <x:c r="E26" s="85" t="str">
        <x:v>7620 Appling Center Dr</x:v>
      </x:c>
      <x:c r="F26" s="85" t="n">
        <x:v>35.203086</x:v>
      </x:c>
      <x:c r="G26" s="85" t="n">
        <x:v>-89.808615</x:v>
      </x:c>
      <x:c r="H26" s="85" t="str">
        <x:v>address_or_site</x:v>
      </x:c>
      <x:c r="I26" s="85" t="str">
        <x:v>high</x:v>
      </x:c>
      <x:c r="J26" s="85" t="str"/>
      <x:c r="K26" s="85" t="str">
        <x:v>RESOLVED</x:v>
      </x:c>
      <x:c r="L26" s="85" t="str">
        <x:v>Address/site-level location fully populated at high confidence.</x:v>
      </x:c>
    </x:row>
    <x:row r="27">
      <x:c r="A27" s="85" t="str">
        <x:v>Master</x:v>
      </x:c>
      <x:c r="B27" s="85" t="str">
        <x:v>TNDC-027</x:v>
      </x:c>
      <x:c r="C27" s="85" t="str">
        <x:v>EdgeConneX Memphis (EDCMEM01)</x:v>
      </x:c>
      <x:c r="D27" s="85" t="str">
        <x:v>Memphis</x:v>
      </x:c>
      <x:c r="E27" s="85" t="str">
        <x:v>4005 S Mendenhall Rd</x:v>
      </x:c>
      <x:c r="F27" s="85" t="n">
        <x:v>35.038995</x:v>
      </x:c>
      <x:c r="G27" s="85" t="n">
        <x:v>-89.88623</x:v>
      </x:c>
      <x:c r="H27" s="85" t="str">
        <x:v>address_or_site</x:v>
      </x:c>
      <x:c r="I27" s="85" t="str">
        <x:v>high</x:v>
      </x:c>
      <x:c r="J27" s="85" t="str"/>
      <x:c r="K27" s="85" t="str">
        <x:v>RESOLVED</x:v>
      </x:c>
      <x:c r="L27" s="85" t="str">
        <x:v>Address/site-level location fully populated at high confidence.</x:v>
      </x:c>
    </x:row>
    <x:row r="28">
      <x:c r="A28" s="85" t="str">
        <x:v>Master</x:v>
      </x:c>
      <x:c r="B28" s="85" t="str">
        <x:v>TNDC-028</x:v>
      </x:c>
      <x:c r="C28" s="85" t="str">
        <x:v>Expedient Memphis</x:v>
      </x:c>
      <x:c r="D28" s="85" t="str">
        <x:v>Memphis</x:v>
      </x:c>
      <x:c r="E28" s="85" t="str">
        <x:v>3180 Players Lane</x:v>
      </x:c>
      <x:c r="F28" s="85" t="n">
        <x:v>35.062965</x:v>
      </x:c>
      <x:c r="G28" s="85" t="n">
        <x:v>-89.786143</x:v>
      </x:c>
      <x:c r="H28" s="85" t="str">
        <x:v>address_or_site</x:v>
      </x:c>
      <x:c r="I28" s="85" t="str">
        <x:v>high</x:v>
      </x:c>
      <x:c r="J28" s="85" t="str"/>
      <x:c r="K28" s="85" t="str">
        <x:v>RESOLVED</x:v>
      </x:c>
      <x:c r="L28" s="85" t="str">
        <x:v>Address/site-level location fully populated at high confidence.</x:v>
      </x:c>
    </x:row>
    <x:row r="29">
      <x:c r="A29" s="85" t="str">
        <x:v>Master</x:v>
      </x:c>
      <x:c r="B29" s="85" t="str">
        <x:v>TNDC-029</x:v>
      </x:c>
      <x:c r="C29" s="85" t="str">
        <x:v>Level(3) Memphis</x:v>
      </x:c>
      <x:c r="D29" s="85" t="str">
        <x:v>Memphis</x:v>
      </x:c>
      <x:c r="E29" s="85" t="str">
        <x:v>3993 Crowfarn Drive</x:v>
      </x:c>
      <x:c r="F29" s="85" t="n">
        <x:v>35.028826</x:v>
      </x:c>
      <x:c r="G29" s="85" t="n">
        <x:v>-89.930755</x:v>
      </x:c>
      <x:c r="H29" s="85" t="str">
        <x:v>address_or_site</x:v>
      </x:c>
      <x:c r="I29" s="85" t="str">
        <x:v>high</x:v>
      </x:c>
      <x:c r="J29" s="85" t="str"/>
      <x:c r="K29" s="85" t="str">
        <x:v>RESOLVED</x:v>
      </x:c>
      <x:c r="L29" s="85" t="str">
        <x:v>Address/site-level location fully populated at high confidence.</x:v>
      </x:c>
    </x:row>
    <x:row r="30">
      <x:c r="A30" s="85" t="str">
        <x:v>Master</x:v>
      </x:c>
      <x:c r="B30" s="85" t="str">
        <x:v>TNDC-030</x:v>
      </x:c>
      <x:c r="C30" s="85" t="str">
        <x:v>xAI Colossus 1</x:v>
      </x:c>
      <x:c r="D30" s="85" t="str">
        <x:v>Memphis</x:v>
      </x:c>
      <x:c r="E30" s="85" t="str">
        <x:v>3231 Riverport Rd/ Paul Lowry Rd</x:v>
      </x:c>
      <x:c r="F30" s="85" t="n">
        <x:v>35.05983</x:v>
      </x:c>
      <x:c r="G30" s="85" t="n">
        <x:v>-90.1562</x:v>
      </x:c>
      <x:c r="H30" s="85" t="str">
        <x:v>address_or_site</x:v>
      </x:c>
      <x:c r="I30" s="85" t="str">
        <x:v>high</x:v>
      </x:c>
      <x:c r="J30" s="85" t="str"/>
      <x:c r="K30" s="85" t="str">
        <x:v>RESOLVED</x:v>
      </x:c>
      <x:c r="L30" s="85" t="str">
        <x:v>Address/site-level location fully populated at high confidence.</x:v>
      </x:c>
    </x:row>
    <x:row r="31">
      <x:c r="A31" s="85" t="str">
        <x:v>Master</x:v>
      </x:c>
      <x:c r="B31" s="85" t="str">
        <x:v>TNDC-031</x:v>
      </x:c>
      <x:c r="C31" s="85" t="str">
        <x:v>xAI Colossus 2</x:v>
      </x:c>
      <x:c r="D31" s="85" t="str">
        <x:v>Memphis</x:v>
      </x:c>
      <x:c r="E31" s="85" t="str">
        <x:v>5414–5420 Tulane Rd</x:v>
      </x:c>
      <x:c r="F31" s="85" t="n">
        <x:v>34.998074</x:v>
      </x:c>
      <x:c r="G31" s="85" t="n">
        <x:v>-90.03507</x:v>
      </x:c>
      <x:c r="H31" s="85" t="str">
        <x:v>address_or_site</x:v>
      </x:c>
      <x:c r="I31" s="85" t="str">
        <x:v>high</x:v>
      </x:c>
      <x:c r="J31" s="85" t="str"/>
      <x:c r="K31" s="85" t="str">
        <x:v>RESOLVED</x:v>
      </x:c>
      <x:c r="L31" s="85" t="str">
        <x:v>Address/site-level location fully populated at high confidence.</x:v>
      </x:c>
    </x:row>
    <x:row r="32">
      <x:c r="A32" s="85" t="str">
        <x:v>Master</x:v>
      </x:c>
      <x:c r="B32" s="85" t="str">
        <x:v>TNDC-032</x:v>
      </x:c>
      <x:c r="C32" s="85" t="str">
        <x:v>DC BLOX Nashville (Grassmere Park)</x:v>
      </x:c>
      <x:c r="D32" s="85" t="str">
        <x:v>Nashville</x:v>
      </x:c>
      <x:c r="E32" s="85" t="str">
        <x:v>648 Grassmere Park</x:v>
      </x:c>
      <x:c r="F32" s="85" t="n">
        <x:v>36.090492</x:v>
      </x:c>
      <x:c r="G32" s="85" t="n">
        <x:v>-86.74721</x:v>
      </x:c>
      <x:c r="H32" s="85" t="str">
        <x:v>address_or_site</x:v>
      </x:c>
      <x:c r="I32" s="85" t="str">
        <x:v>high</x:v>
      </x:c>
      <x:c r="J32" s="85" t="str"/>
      <x:c r="K32" s="85" t="str">
        <x:v>RESOLVED</x:v>
      </x:c>
      <x:c r="L32" s="85" t="str">
        <x:v>Address/site-level location fully populated at high confidence.</x:v>
      </x:c>
    </x:row>
    <x:row r="33">
      <x:c r="A33" s="85" t="str">
        <x:v>Master</x:v>
      </x:c>
      <x:c r="B33" s="85" t="str">
        <x:v>TNDC-033</x:v>
      </x:c>
      <x:c r="C33" s="85" t="str">
        <x:v>EdgeConneX Nashville (EDCNAS01)</x:v>
      </x:c>
      <x:c r="D33" s="85" t="str">
        <x:v>Nashville</x:v>
      </x:c>
      <x:c r="E33" s="85" t="str">
        <x:v>1841 Air Lane Dr</x:v>
      </x:c>
      <x:c r="F33" s="85" t="n">
        <x:v>36.144881</x:v>
      </x:c>
      <x:c r="G33" s="85" t="n">
        <x:v>-86.701721</x:v>
      </x:c>
      <x:c r="H33" s="85" t="str">
        <x:v>address_or_site</x:v>
      </x:c>
      <x:c r="I33" s="85" t="str">
        <x:v>high</x:v>
      </x:c>
      <x:c r="J33" s="85" t="str"/>
      <x:c r="K33" s="85" t="str">
        <x:v>RESOLVED</x:v>
      </x:c>
      <x:c r="L33" s="85" t="str">
        <x:v>Address/site-level location fully populated at high confidence.</x:v>
      </x:c>
    </x:row>
    <x:row r="34">
      <x:c r="A34" s="85" t="str">
        <x:v>Master</x:v>
      </x:c>
      <x:c r="B34" s="85" t="str">
        <x:v>TNDC-034</x:v>
      </x:c>
      <x:c r="C34" s="85" t="str">
        <x:v>H5 Data Centers Nashville</x:v>
      </x:c>
      <x:c r="D34" s="85" t="str">
        <x:v>Nashville</x:v>
      </x:c>
      <x:c r="E34" s="85" t="str">
        <x:v>147 Fourth Ave</x:v>
      </x:c>
      <x:c r="F34" s="85" t="n">
        <x:v>36.1628</x:v>
      </x:c>
      <x:c r="G34" s="85" t="n">
        <x:v>-86.77863</x:v>
      </x:c>
      <x:c r="H34" s="85" t="str">
        <x:v>address_or_site</x:v>
      </x:c>
      <x:c r="I34" s="85" t="str">
        <x:v>high</x:v>
      </x:c>
      <x:c r="J34" s="85" t="str"/>
      <x:c r="K34" s="85" t="str">
        <x:v>RESOLVED</x:v>
      </x:c>
      <x:c r="L34" s="85" t="str">
        <x:v>Address/site-level location fully populated at high confidence.</x:v>
      </x:c>
    </x:row>
    <x:row r="35">
      <x:c r="A35" s="85" t="str">
        <x:v>Master</x:v>
      </x:c>
      <x:c r="B35" s="85" t="str">
        <x:v>TNDC-035</x:v>
      </x:c>
      <x:c r="C35" s="85" t="str">
        <x:v>H5 Data Centers Nashville (TN01)</x:v>
      </x:c>
      <x:c r="D35" s="85" t="str">
        <x:v>Nashville</x:v>
      </x:c>
      <x:c r="E35" s="85" t="str">
        <x:v>211 Commerce Street</x:v>
      </x:c>
      <x:c r="F35" s="85" t="n">
        <x:v>36.162621</x:v>
      </x:c>
      <x:c r="G35" s="85" t="n">
        <x:v>-86.776316</x:v>
      </x:c>
      <x:c r="H35" s="85" t="str">
        <x:v>address_or_site</x:v>
      </x:c>
      <x:c r="I35" s="85" t="str">
        <x:v>high</x:v>
      </x:c>
      <x:c r="J35" s="85" t="str"/>
      <x:c r="K35" s="85" t="str">
        <x:v>RESOLVED</x:v>
      </x:c>
      <x:c r="L35" s="85" t="str">
        <x:v>Address/site-level location fully populated at high confidence.</x:v>
      </x:c>
    </x:row>
    <x:row r="36">
      <x:c r="A36" s="85" t="str">
        <x:v>Master</x:v>
      </x:c>
      <x:c r="B36" s="85" t="str">
        <x:v>TNDC-036</x:v>
      </x:c>
      <x:c r="C36" s="85" t="str">
        <x:v>Level(3) Nashville (9th Ave)</x:v>
      </x:c>
      <x:c r="D36" s="85" t="str">
        <x:v>Nashville</x:v>
      </x:c>
      <x:c r="E36" s="85" t="str">
        <x:v>2208 9th Ave N</x:v>
      </x:c>
      <x:c r="F36" s="85" t="n">
        <x:v>36.189148</x:v>
      </x:c>
      <x:c r="G36" s="85" t="n">
        <x:v>-86.804111</x:v>
      </x:c>
      <x:c r="H36" s="85" t="str">
        <x:v>address_or_site</x:v>
      </x:c>
      <x:c r="I36" s="85" t="str">
        <x:v>high</x:v>
      </x:c>
      <x:c r="J36" s="85" t="str"/>
      <x:c r="K36" s="85" t="str">
        <x:v>RESOLVED</x:v>
      </x:c>
      <x:c r="L36" s="85" t="str">
        <x:v>Address/site-level location fully populated at high confidence.</x:v>
      </x:c>
    </x:row>
    <x:row r="37">
      <x:c r="A37" s="85" t="str">
        <x:v>Master</x:v>
      </x:c>
      <x:c r="B37" s="85" t="str">
        <x:v>TNDC-037</x:v>
      </x:c>
      <x:c r="C37" s="85" t="str">
        <x:v>Level(3) Nashville (Sidco Drive)</x:v>
      </x:c>
      <x:c r="D37" s="85" t="str">
        <x:v>Nashville</x:v>
      </x:c>
      <x:c r="E37" s="85" t="str">
        <x:v>2990 Sidco Drive</x:v>
      </x:c>
      <x:c r="F37" s="85" t="n">
        <x:v>36.102726</x:v>
      </x:c>
      <x:c r="G37" s="85" t="n">
        <x:v>-86.755786</x:v>
      </x:c>
      <x:c r="H37" s="85" t="str">
        <x:v>address_or_site</x:v>
      </x:c>
      <x:c r="I37" s="85" t="str">
        <x:v>high</x:v>
      </x:c>
      <x:c r="J37" s="85" t="str"/>
      <x:c r="K37" s="85" t="str">
        <x:v>ADDRESS_CANONICALIZED</x:v>
      </x:c>
      <x:c r="L37" s="85" t="str">
        <x:v>Lumen current route list uses 2990 Sidco Drive; 2992 is retained as an adjacent legacy-directory discrepancy.</x:v>
      </x:c>
    </x:row>
    <x:row r="38">
      <x:c r="A38" s="85" t="str">
        <x:v>Master</x:v>
      </x:c>
      <x:c r="B38" s="85" t="str">
        <x:v>TNDC-038</x:v>
      </x:c>
      <x:c r="C38" s="85" t="str">
        <x:v>Peace Communications NSH2</x:v>
      </x:c>
      <x:c r="D38" s="85" t="str">
        <x:v>Nashville</x:v>
      </x:c>
      <x:c r="E38" s="85" t="str">
        <x:v>1661 Murfreesboro Pike</x:v>
      </x:c>
      <x:c r="F38" s="85" t="n">
        <x:v>36.103326</x:v>
      </x:c>
      <x:c r="G38" s="85" t="n">
        <x:v>-86.668932</x:v>
      </x:c>
      <x:c r="H38" s="85" t="str">
        <x:v>address_or_site</x:v>
      </x:c>
      <x:c r="I38" s="85" t="str">
        <x:v>high</x:v>
      </x:c>
      <x:c r="J38" s="85" t="str"/>
      <x:c r="K38" s="85" t="str">
        <x:v>RESOLVED</x:v>
      </x:c>
      <x:c r="L38" s="85" t="str">
        <x:v>Address/site-level location fully populated at high confidence.</x:v>
      </x:c>
    </x:row>
    <x:row r="39">
      <x:c r="A39" s="85" t="str">
        <x:v>Master</x:v>
      </x:c>
      <x:c r="B39" s="85" t="str">
        <x:v>TNDC-039</x:v>
      </x:c>
      <x:c r="C39" s="85" t="str">
        <x:v>Quantum Leap Data Center/ Fisk University</x:v>
      </x:c>
      <x:c r="D39" s="85" t="str">
        <x:v>Nashville</x:v>
      </x:c>
      <x:c r="E39" s="85" t="str">
        <x:v>1000 17th Ave N</x:v>
      </x:c>
      <x:c r="F39" s="85" t="n">
        <x:v>36.167574</x:v>
      </x:c>
      <x:c r="G39" s="85" t="n">
        <x:v>-86.8041028</x:v>
      </x:c>
      <x:c r="H39" s="85" t="str">
        <x:v>address_or_site</x:v>
      </x:c>
      <x:c r="I39" s="85" t="str">
        <x:v>high</x:v>
      </x:c>
      <x:c r="J39" s="85" t="str"/>
      <x:c r="K39" s="85" t="str">
        <x:v>RESOLVED</x:v>
      </x:c>
      <x:c r="L39" s="85" t="str">
        <x:v>Address/site-level location fully populated at high confidence.</x:v>
      </x:c>
    </x:row>
    <x:row r="40">
      <x:c r="A40" s="85" t="str">
        <x:v>Master</x:v>
      </x:c>
      <x:c r="B40" s="85" t="str">
        <x:v>TNDC-040</x:v>
      </x:c>
      <x:c r="C40" s="85" t="str">
        <x:v>RadiusDC Nashville I</x:v>
      </x:c>
      <x:c r="D40" s="85" t="str">
        <x:v>Nashville</x:v>
      </x:c>
      <x:c r="E40" s="85" t="str">
        <x:v>2902 Brick Church Pike</x:v>
      </x:c>
      <x:c r="F40" s="85" t="n">
        <x:v>36.27987</x:v>
      </x:c>
      <x:c r="G40" s="85" t="n">
        <x:v>-86.7837</x:v>
      </x:c>
      <x:c r="H40" s="85" t="str">
        <x:v>approximate</x:v>
      </x:c>
      <x:c r="I40" s="85" t="str">
        <x:v>medium</x:v>
      </x:c>
      <x:c r="J40" s="85" t="str"/>
      <x:c r="K40" s="85" t="str">
        <x:v>COMPLIANT_PARTIAL</x:v>
      </x:c>
      <x:c r="L40" s="85" t="str">
        <x:v>Coordinate populated with explicit non-exact precision/confidence and provenance.</x:v>
      </x:c>
    </x:row>
    <x:row r="41">
      <x:c r="A41" s="85" t="str">
        <x:v>Master</x:v>
      </x:c>
      <x:c r="B41" s="85" t="str">
        <x:v>TNDC-041</x:v>
      </x:c>
      <x:c r="C41" s="85" t="str">
        <x:v>XO Nashville</x:v>
      </x:c>
      <x:c r="D41" s="85" t="str">
        <x:v>Nashville</x:v>
      </x:c>
      <x:c r="E41" s="85" t="str">
        <x:v>101 Molloy Street</x:v>
      </x:c>
      <x:c r="F41" s="85" t="n">
        <x:v>36.158837</x:v>
      </x:c>
      <x:c r="G41" s="85" t="n">
        <x:v>-86.772516</x:v>
      </x:c>
      <x:c r="H41" s="85" t="str">
        <x:v>address_or_site</x:v>
      </x:c>
      <x:c r="I41" s="85" t="str">
        <x:v>high</x:v>
      </x:c>
      <x:c r="J41" s="85" t="str"/>
      <x:c r="K41" s="85" t="str">
        <x:v>RESOLVED</x:v>
      </x:c>
      <x:c r="L41" s="85" t="str">
        <x:v>Address/site-level location fully populated at high confidence.</x:v>
      </x:c>
    </x:row>
    <x:row r="42">
      <x:c r="A42" s="85" t="str">
        <x:v>Master</x:v>
      </x:c>
      <x:c r="B42" s="85" t="str">
        <x:v>TNDC-042</x:v>
      </x:c>
      <x:c r="C42" s="85" t="str">
        <x:v>Zayo Nashville - 209 10th Ave. S</x:v>
      </x:c>
      <x:c r="D42" s="85" t="str">
        <x:v>Nashville</x:v>
      </x:c>
      <x:c r="E42" s="85" t="str">
        <x:v>209 10th Ave. S</x:v>
      </x:c>
      <x:c r="F42" s="85" t="n">
        <x:v>36.155165</x:v>
      </x:c>
      <x:c r="G42" s="85" t="n">
        <x:v>-86.782559</x:v>
      </x:c>
      <x:c r="H42" s="85" t="str">
        <x:v>address_or_site</x:v>
      </x:c>
      <x:c r="I42" s="85" t="str">
        <x:v>high</x:v>
      </x:c>
      <x:c r="J42" s="85" t="str"/>
      <x:c r="K42" s="85" t="str">
        <x:v>RESOLVED</x:v>
      </x:c>
      <x:c r="L42" s="85" t="str">
        <x:v>Address/site-level location fully populated at high confidence.</x:v>
      </x:c>
    </x:row>
    <x:row r="43">
      <x:c r="A43" s="85" t="str">
        <x:v>Master</x:v>
      </x:c>
      <x:c r="B43" s="85" t="str">
        <x:v>TNDC-043</x:v>
      </x:c>
      <x:c r="C43" s="85" t="str">
        <x:v>CleanSpark New Tazewell Bitcoin Mining Facility</x:v>
      </x:c>
      <x:c r="D43" s="85" t="str">
        <x:v>New Tazewell</x:v>
      </x:c>
      <x:c r="E43" s="85" t="str">
        <x:v>3750 Tennessee-33</x:v>
      </x:c>
      <x:c r="F43" s="85" t="n">
        <x:v>36.4426</x:v>
      </x:c>
      <x:c r="G43" s="85" t="n">
        <x:v>-83.5996</x:v>
      </x:c>
      <x:c r="H43" s="85" t="str">
        <x:v>approximate</x:v>
      </x:c>
      <x:c r="I43" s="85" t="str">
        <x:v>medium</x:v>
      </x:c>
      <x:c r="J43" s="85" t="str"/>
      <x:c r="K43" s="85" t="str">
        <x:v>COMPLIANT_PARTIAL</x:v>
      </x:c>
      <x:c r="L43" s="85" t="str">
        <x:v>Coordinate populated with explicit non-exact precision/confidence and provenance.</x:v>
      </x:c>
    </x:row>
    <x:row r="44">
      <x:c r="A44" s="85" t="str">
        <x:v>Master</x:v>
      </x:c>
      <x:c r="B44" s="85" t="str">
        <x:v>TNDC-044</x:v>
      </x:c>
      <x:c r="C44" s="85" t="str">
        <x:v>CleanSpark Oneida Bitcoin Mining Facility</x:v>
      </x:c>
      <x:c r="D44" s="85" t="str">
        <x:v>Oneida</x:v>
      </x:c>
      <x:c r="E44" s="85"/>
      <x:c r="F44" s="85" t="n">
        <x:v>36.4981</x:v>
      </x:c>
      <x:c r="G44" s="85" t="n">
        <x:v>-84.5127</x:v>
      </x:c>
      <x:c r="H44" s="85" t="str">
        <x:v>approximate</x:v>
      </x:c>
      <x:c r="I44" s="85" t="str">
        <x:v>medium</x:v>
      </x:c>
      <x:c r="J44" s="85" t="str">
        <x:v>address | postal_code</x:v>
      </x:c>
      <x:c r="K44" s="85" t="str">
        <x:v>COMPLIANT_PARTIAL</x:v>
      </x:c>
      <x:c r="L44" s="85" t="str">
        <x:v>Coordinate populated with explicit non-exact precision/confidence and provenance.</x:v>
      </x:c>
    </x:row>
    <x:row r="45">
      <x:c r="A45" s="85" t="str">
        <x:v>Master</x:v>
      </x:c>
      <x:c r="B45" s="85" t="str">
        <x:v>TNDC-045</x:v>
      </x:c>
      <x:c r="C45" s="85" t="str">
        <x:v>CleanSpark Winfield Bitcoin Mining Facility</x:v>
      </x:c>
      <x:c r="D45" s="85" t="str">
        <x:v>Winfield</x:v>
      </x:c>
      <x:c r="E45" s="85" t="str">
        <x:v>708 Pine Grove Rd</x:v>
      </x:c>
      <x:c r="F45" s="85" t="n">
        <x:v>36.5467887</x:v>
      </x:c>
      <x:c r="G45" s="85" t="n">
        <x:v>-84.4521787</x:v>
      </x:c>
      <x:c r="H45" s="85" t="str">
        <x:v>address_or_site</x:v>
      </x:c>
      <x:c r="I45" s="85" t="str">
        <x:v>high</x:v>
      </x:c>
      <x:c r="J45" s="85" t="str"/>
      <x:c r="K45" s="85" t="str">
        <x:v>RESOLVED</x:v>
      </x:c>
      <x:c r="L45" s="85" t="str">
        <x:v>Address/site-level location fully populated at high confidence.</x:v>
      </x:c>
    </x:row>
    <x:row r="46">
      <x:c r="A46" s="85" t="str">
        <x:v>Master</x:v>
      </x:c>
      <x:c r="B46" s="85" t="str">
        <x:v>TNDC-046</x:v>
      </x:c>
      <x:c r="C46" s="85" t="str">
        <x:v>LCUB Data Center</x:v>
      </x:c>
      <x:c r="D46" s="85" t="str">
        <x:v>Lenoir City</x:v>
      </x:c>
      <x:c r="E46" s="85" t="str">
        <x:v>7698 Creekwood Park Blvd</x:v>
      </x:c>
      <x:c r="F46" s="85" t="n">
        <x:v>35.840815</x:v>
      </x:c>
      <x:c r="G46" s="85" t="n">
        <x:v>-84.265703</x:v>
      </x:c>
      <x:c r="H46" s="85" t="str">
        <x:v>address_or_site</x:v>
      </x:c>
      <x:c r="I46" s="85" t="str">
        <x:v>high</x:v>
      </x:c>
      <x:c r="J46" s="85" t="str"/>
      <x:c r="K46" s="85" t="str">
        <x:v>RESOLVED</x:v>
      </x:c>
      <x:c r="L46" s="85" t="str">
        <x:v>Address/site-level location fully populated at high confidence.</x:v>
      </x:c>
    </x:row>
    <x:row r="47">
      <x:c r="A47" s="85" t="str">
        <x:v>Master</x:v>
      </x:c>
      <x:c r="B47" s="85" t="str">
        <x:v>TNDC-047</x:v>
      </x:c>
      <x:c r="C47" s="85" t="str">
        <x:v>TenHats Knoxville Data Center</x:v>
      </x:c>
      <x:c r="D47" s="85" t="str">
        <x:v>Knoxville</x:v>
      </x:c>
      <x:c r="E47" s="85" t="str">
        <x:v>550 Fort Summit Way</x:v>
      </x:c>
      <x:c r="F47" s="85" t="n">
        <x:v>35.97048129</x:v>
      </x:c>
      <x:c r="G47" s="85" t="n">
        <x:v>-83.91221605</x:v>
      </x:c>
      <x:c r="H47" s="85" t="str">
        <x:v>approximate_site</x:v>
      </x:c>
      <x:c r="I47" s="85" t="str">
        <x:v>medium</x:v>
      </x:c>
      <x:c r="J47" s="85" t="str"/>
      <x:c r="K47" s="85" t="str">
        <x:v>COMPLIANT_PARTIAL</x:v>
      </x:c>
      <x:c r="L47" s="85" t="str">
        <x:v>Coordinate populated with explicit non-exact precision/confidence and provenance.</x:v>
      </x:c>
    </x:row>
    <x:row r="48">
      <x:c r="A48" s="85" t="str">
        <x:v>Master</x:v>
      </x:c>
      <x:c r="B48" s="85" t="str">
        <x:v>TNDC-048</x:v>
      </x:c>
      <x:c r="C48" s="85" t="str">
        <x:v>Infinity Data Center</x:v>
      </x:c>
      <x:c r="D48" s="85" t="str">
        <x:v>Knoxville</x:v>
      </x:c>
      <x:c r="E48" s="85" t="str">
        <x:v>2575 Willow Point Way, Suite 103</x:v>
      </x:c>
      <x:c r="F48" s="85" t="n">
        <x:v>35.9585</x:v>
      </x:c>
      <x:c r="G48" s="85" t="n">
        <x:v>-84.1392</x:v>
      </x:c>
      <x:c r="H48" s="85" t="str">
        <x:v>address_or_site</x:v>
      </x:c>
      <x:c r="I48" s="85" t="str">
        <x:v>high</x:v>
      </x:c>
      <x:c r="J48" s="85" t="str"/>
      <x:c r="K48" s="85" t="str">
        <x:v>RESOLVED</x:v>
      </x:c>
      <x:c r="L48" s="85" t="str">
        <x:v>Address/site-level location fully populated at high confidence.</x:v>
      </x:c>
    </x:row>
    <x:row r="49">
      <x:c r="A49" s="85" t="str">
        <x:v>Master</x:v>
      </x:c>
      <x:c r="B49" s="85" t="str">
        <x:v>TNDC-049</x:v>
      </x:c>
      <x:c r="C49" s="85" t="str">
        <x:v>Windstream / Uniti Knoxville</x:v>
      </x:c>
      <x:c r="D49" s="85" t="str">
        <x:v>Knoxville</x:v>
      </x:c>
      <x:c r="E49" s="85" t="str">
        <x:v>2333 Lovell Rd</x:v>
      </x:c>
      <x:c r="F49" s="85" t="n">
        <x:v>35.95217137</x:v>
      </x:c>
      <x:c r="G49" s="85" t="n">
        <x:v>-84.12517265</x:v>
      </x:c>
      <x:c r="H49" s="85" t="str">
        <x:v>approximate_site</x:v>
      </x:c>
      <x:c r="I49" s="85" t="str">
        <x:v>medium</x:v>
      </x:c>
      <x:c r="J49" s="85" t="str"/>
      <x:c r="K49" s="85" t="str">
        <x:v>COMPLIANT_PARTIAL</x:v>
      </x:c>
      <x:c r="L49" s="85" t="str">
        <x:v>Coordinate populated with explicit non-exact precision/confidence and provenance.</x:v>
      </x:c>
    </x:row>
    <x:row r="50">
      <x:c r="A50" s="85" t="str">
        <x:v>Master</x:v>
      </x:c>
      <x:c r="B50" s="85" t="str">
        <x:v>TNDC-050</x:v>
      </x:c>
      <x:c r="C50" s="85" t="str">
        <x:v>Aeneas Data Center</x:v>
      </x:c>
      <x:c r="D50" s="85" t="str">
        <x:v>Jackson</x:v>
      </x:c>
      <x:c r="E50" s="85" t="str">
        <x:v>300 N Cumberland St</x:v>
      </x:c>
      <x:c r="F50" s="85" t="n">
        <x:v>35.6163439553</x:v>
      </x:c>
      <x:c r="G50" s="85" t="n">
        <x:v>-88.8159272209</x:v>
      </x:c>
      <x:c r="H50" s="85" t="str">
        <x:v>address_or_site</x:v>
      </x:c>
      <x:c r="I50" s="85" t="str">
        <x:v>high</x:v>
      </x:c>
      <x:c r="J50" s="85" t="str"/>
      <x:c r="K50" s="85" t="str">
        <x:v>RESOLVED</x:v>
      </x:c>
      <x:c r="L50" s="85" t="str">
        <x:v>Address/site-level location fully populated at high confidence.</x:v>
      </x:c>
    </x:row>
    <x:row r="51">
      <x:c r="A51" s="85" t="str">
        <x:v>Master</x:v>
      </x:c>
      <x:c r="B51" s="85" t="str">
        <x:v>TNDC-051</x:v>
      </x:c>
      <x:c r="C51" s="85" t="str">
        <x:v>MCA Chattanooga Data Center</x:v>
      </x:c>
      <x:c r="D51" s="85" t="str">
        <x:v>Chattanooga</x:v>
      </x:c>
      <x:c r="E51" s="85" t="str">
        <x:v>6048 Century Oaks Dr</x:v>
      </x:c>
      <x:c r="F51" s="85" t="n">
        <x:v>35.07589</x:v>
      </x:c>
      <x:c r="G51" s="85" t="n">
        <x:v>-85.18455</x:v>
      </x:c>
      <x:c r="H51" s="85" t="str">
        <x:v>address_or_site</x:v>
      </x:c>
      <x:c r="I51" s="85" t="str">
        <x:v>high</x:v>
      </x:c>
      <x:c r="J51" s="85" t="str"/>
      <x:c r="K51" s="85" t="str">
        <x:v>RESOLVED</x:v>
      </x:c>
      <x:c r="L51" s="85" t="str">
        <x:v>Address/site-level location fully populated at high confidence.</x:v>
      </x:c>
    </x:row>
    <x:row r="52">
      <x:c r="A52" s="85" t="str">
        <x:v>Master</x:v>
      </x:c>
      <x:c r="B52" s="85" t="str">
        <x:v>TNDC-052</x:v>
      </x:c>
      <x:c r="C52" s="85" t="str">
        <x:v>Data Suites Murfreesboro</x:v>
      </x:c>
      <x:c r="D52" s="85" t="str">
        <x:v>Murfreesboro</x:v>
      </x:c>
      <x:c r="E52" s="85" t="str">
        <x:v>1020 W College St</x:v>
      </x:c>
      <x:c r="F52" s="85" t="n">
        <x:v>35.856076</x:v>
      </x:c>
      <x:c r="G52" s="85" t="n">
        <x:v>-86.405338</x:v>
      </x:c>
      <x:c r="H52" s="85" t="str">
        <x:v>address_or_site</x:v>
      </x:c>
      <x:c r="I52" s="85" t="str">
        <x:v>high</x:v>
      </x:c>
      <x:c r="J52" s="85" t="str"/>
      <x:c r="K52" s="85" t="str">
        <x:v>RESOLVED</x:v>
      </x:c>
      <x:c r="L52" s="85" t="str">
        <x:v>Address/site-level location fully populated at high confidence.</x:v>
      </x:c>
    </x:row>
    <x:row r="53">
      <x:c r="A53" s="85" t="str">
        <x:v>Master</x:v>
      </x:c>
      <x:c r="B53" s="85" t="str">
        <x:v>TNDC-053</x:v>
      </x:c>
      <x:c r="C53" s="85" t="str">
        <x:v>Windstream / Uniti Brentwood</x:v>
      </x:c>
      <x:c r="D53" s="85" t="str">
        <x:v>Brentwood</x:v>
      </x:c>
      <x:c r="E53" s="85" t="str">
        <x:v>105 Westwood Pl</x:v>
      </x:c>
      <x:c r="F53" s="85" t="n">
        <x:v>36.037186</x:v>
      </x:c>
      <x:c r="G53" s="85" t="n">
        <x:v>-86.806206</x:v>
      </x:c>
      <x:c r="H53" s="85" t="str">
        <x:v>address_or_site</x:v>
      </x:c>
      <x:c r="I53" s="85" t="str">
        <x:v>high</x:v>
      </x:c>
      <x:c r="J53" s="85" t="str"/>
      <x:c r="K53" s="85" t="str">
        <x:v>RESOLVED</x:v>
      </x:c>
      <x:c r="L53" s="85" t="str">
        <x:v>Address/site-level location fully populated at high confidence.</x:v>
      </x:c>
    </x:row>
    <x:row r="54">
      <x:c r="A54" s="85" t="str">
        <x:v>Master</x:v>
      </x:c>
      <x:c r="B54" s="85" t="str">
        <x:v>TNDC-054</x:v>
      </x:c>
      <x:c r="C54" s="85" t="str">
        <x:v>Lumen Nashville 2</x:v>
      </x:c>
      <x:c r="D54" s="85" t="str">
        <x:v>Nashville</x:v>
      </x:c>
      <x:c r="E54" s="85" t="str">
        <x:v>2530 Perimeter Place Drive</x:v>
      </x:c>
      <x:c r="F54" s="85" t="n">
        <x:v>36.14787701</x:v>
      </x:c>
      <x:c r="G54" s="85" t="n">
        <x:v>-86.68002591</x:v>
      </x:c>
      <x:c r="H54" s="85" t="str">
        <x:v>approximate_site</x:v>
      </x:c>
      <x:c r="I54" s="85" t="str">
        <x:v>medium</x:v>
      </x:c>
      <x:c r="J54" s="85" t="str"/>
      <x:c r="K54" s="85" t="str">
        <x:v>COMPLIANT_PARTIAL</x:v>
      </x:c>
      <x:c r="L54" s="85" t="str">
        <x:v>Coordinate populated with explicit non-exact precision/confidence and provenance.</x:v>
      </x:c>
    </x:row>
    <x:row r="55">
      <x:c r="A55" s="85" t="str">
        <x:v>Master</x:v>
      </x:c>
      <x:c r="B55" s="85" t="str">
        <x:v>TNDC-055</x:v>
      </x:c>
      <x:c r="C55" s="85" t="str">
        <x:v>Lumen Nashville 4 / Berry Hill</x:v>
      </x:c>
      <x:c r="D55" s="85" t="str">
        <x:v>Nashville</x:v>
      </x:c>
      <x:c r="E55" s="85" t="str">
        <x:v>708 Melrose Ave</x:v>
      </x:c>
      <x:c r="F55" s="85" t="n">
        <x:v>36.1202759</x:v>
      </x:c>
      <x:c r="G55" s="85" t="n">
        <x:v>-86.7623382</x:v>
      </x:c>
      <x:c r="H55" s="85" t="str">
        <x:v>address_or_site</x:v>
      </x:c>
      <x:c r="I55" s="85" t="str">
        <x:v>high</x:v>
      </x:c>
      <x:c r="J55" s="85" t="str"/>
      <x:c r="K55" s="85" t="str">
        <x:v>RESOLVED</x:v>
      </x:c>
      <x:c r="L55" s="85" t="str">
        <x:v>Address/site-level location fully populated at high confidence.</x:v>
      </x:c>
    </x:row>
    <x:row r="56">
      <x:c r="A56" s="85" t="str">
        <x:v>Master</x:v>
      </x:c>
      <x:c r="B56" s="85" t="str">
        <x:v>TNDC-056</x:v>
      </x:c>
      <x:c r="C56" s="85" t="str">
        <x:v>Saragon Nashville</x:v>
      </x:c>
      <x:c r="D56" s="85" t="str">
        <x:v>Nashville</x:v>
      </x:c>
      <x:c r="E56" s="85" t="str">
        <x:v>338 Woodycrest Ave</x:v>
      </x:c>
      <x:c r="F56" s="85" t="n">
        <x:v>36.13170626</x:v>
      </x:c>
      <x:c r="G56" s="85" t="n">
        <x:v>-86.75324366</x:v>
      </x:c>
      <x:c r="H56" s="85" t="str">
        <x:v>approximate_site</x:v>
      </x:c>
      <x:c r="I56" s="85" t="str">
        <x:v>medium</x:v>
      </x:c>
      <x:c r="J56" s="85" t="str"/>
      <x:c r="K56" s="85" t="str">
        <x:v>COMPLIANT_PARTIAL</x:v>
      </x:c>
      <x:c r="L56" s="85" t="str">
        <x:v>Coordinate populated with explicit non-exact precision/confidence and provenance.</x:v>
      </x:c>
    </x:row>
    <x:row r="57">
      <x:c r="A57" s="85" t="str">
        <x:v>Master</x:v>
      </x:c>
      <x:c r="B57" s="85" t="str">
        <x:v>TNDC-057</x:v>
      </x:c>
      <x:c r="C57" s="85" t="str">
        <x:v>WorldSpice Data Center</x:v>
      </x:c>
      <x:c r="D57" s="85" t="str">
        <x:v>Memphis</x:v>
      </x:c>
      <x:c r="E57" s="85" t="str">
        <x:v>5050 Poplar Ave, Suite 170</x:v>
      </x:c>
      <x:c r="F57" s="85" t="n">
        <x:v>35.1132403</x:v>
      </x:c>
      <x:c r="G57" s="85" t="n">
        <x:v>-89.8928537</x:v>
      </x:c>
      <x:c r="H57" s="85" t="str">
        <x:v>address_or_site</x:v>
      </x:c>
      <x:c r="I57" s="85" t="str">
        <x:v>high</x:v>
      </x:c>
      <x:c r="J57" s="85" t="str"/>
      <x:c r="K57" s="85" t="str">
        <x:v>RESOLVED</x:v>
      </x:c>
      <x:c r="L57" s="85" t="str">
        <x:v>Address/site-level location fully populated at high confidence.</x:v>
      </x:c>
    </x:row>
    <x:row r="58">
      <x:c r="A58" s="85" t="str">
        <x:v>Master</x:v>
      </x:c>
      <x:c r="B58" s="85" t="str">
        <x:v>TNDC-058</x:v>
      </x:c>
      <x:c r="C58" s="85" t="str">
        <x:v>Connect Data Centers Memphis</x:v>
      </x:c>
      <x:c r="D58" s="85" t="str">
        <x:v>Memphis</x:v>
      </x:c>
      <x:c r="E58" s="85" t="str">
        <x:v>3900 S Mendenhall Rd</x:v>
      </x:c>
      <x:c r="F58" s="85" t="n">
        <x:v>35.0417724</x:v>
      </x:c>
      <x:c r="G58" s="85" t="n">
        <x:v>-89.8845309</x:v>
      </x:c>
      <x:c r="H58" s="85" t="str">
        <x:v>address_or_site</x:v>
      </x:c>
      <x:c r="I58" s="85" t="str">
        <x:v>high</x:v>
      </x:c>
      <x:c r="J58" s="85" t="str"/>
      <x:c r="K58" s="85" t="str">
        <x:v>RESOLVED</x:v>
      </x:c>
      <x:c r="L58" s="85" t="str">
        <x:v>Address/site-level location fully populated at high confidence.</x:v>
      </x:c>
    </x:row>
    <x:row r="59">
      <x:c r="A59" s="85" t="str">
        <x:v>Master</x:v>
      </x:c>
      <x:c r="B59" s="85" t="str">
        <x:v>TNDC-059</x:v>
      </x:c>
      <x:c r="C59" s="85" t="str">
        <x:v>5C MEM01</x:v>
      </x:c>
      <x:c r="D59" s="85" t="str">
        <x:v>Memphis</x:v>
      </x:c>
      <x:c r="E59" s="85" t="str">
        <x:v>4280 Getwell Rd</x:v>
      </x:c>
      <x:c r="F59" s="85" t="n">
        <x:v>35.0327269</x:v>
      </x:c>
      <x:c r="G59" s="85" t="n">
        <x:v>-89.9354893</x:v>
      </x:c>
      <x:c r="H59" s="85" t="str">
        <x:v>approximate_site</x:v>
      </x:c>
      <x:c r="I59" s="85" t="str">
        <x:v>medium</x:v>
      </x:c>
      <x:c r="J59" s="85" t="str"/>
      <x:c r="K59" s="85" t="str">
        <x:v>ADDRESS_CONTEXT_RESOLVED</x:v>
      </x:c>
      <x:c r="L59" s="85" t="str">
        <x:v>4280 Getwell Rd remains the facility-facing address; 4300 Getwell Rd is related broader-site permit/property evidence.</x:v>
      </x:c>
    </x:row>
    <x:row r="60">
      <x:c r="A60" s="85" t="str">
        <x:v>Master</x:v>
      </x:c>
      <x:c r="B60" s="85" t="str">
        <x:v>TNDC-060</x:v>
      </x:c>
      <x:c r="C60" s="85" t="str">
        <x:v>The STEM Practice Memphis</x:v>
      </x:c>
      <x:c r="D60" s="85" t="str">
        <x:v>Memphis</x:v>
      </x:c>
      <x:c r="E60" s="85" t="str">
        <x:v>1341 Sycamore View Rd</x:v>
      </x:c>
      <x:c r="F60" s="85" t="n">
        <x:v>35.161945</x:v>
      </x:c>
      <x:c r="G60" s="85" t="n">
        <x:v>-89.860031</x:v>
      </x:c>
      <x:c r="H60" s="85" t="str">
        <x:v>address_or_site</x:v>
      </x:c>
      <x:c r="I60" s="85" t="str">
        <x:v>high</x:v>
      </x:c>
      <x:c r="J60" s="85" t="str"/>
      <x:c r="K60" s="85" t="str">
        <x:v>RESOLVED</x:v>
      </x:c>
      <x:c r="L60" s="85" t="str">
        <x:v>Address/site-level location fully populated at high confidence.</x:v>
      </x:c>
    </x:row>
    <x:row r="61">
      <x:c r="A61" s="85" t="str">
        <x:v>Master</x:v>
      </x:c>
      <x:c r="B61" s="85" t="str">
        <x:v>TNDC-061</x:v>
      </x:c>
      <x:c r="C61" s="85" t="str">
        <x:v>Humboldt / Gibson County Crypto Mining Facility</x:v>
      </x:c>
      <x:c r="D61" s="85" t="str">
        <x:v>Humboldt</x:v>
      </x:c>
      <x:c r="E61" s="85" t="str">
        <x:v>Gibson County Industrial Park vicinity (2725 N Central Ave reference site)</x:v>
      </x:c>
      <x:c r="F61" s="85" t="n">
        <x:v>35.842805</x:v>
      </x:c>
      <x:c r="G61" s="85" t="n">
        <x:v>-88.921847</x:v>
      </x:c>
      <x:c r="H61" s="85" t="str">
        <x:v>approximate_site</x:v>
      </x:c>
      <x:c r="I61" s="85" t="str">
        <x:v>medium</x:v>
      </x:c>
      <x:c r="J61" s="85" t="str"/>
      <x:c r="K61" s="85" t="str">
        <x:v>COMPLIANT_PARTIAL</x:v>
      </x:c>
      <x:c r="L61" s="85" t="str">
        <x:v>Coordinate populated with explicit non-exact precision/confidence and provenance.</x:v>
      </x:c>
    </x:row>
    <x:row r="62">
      <x:c r="A62" s="85" t="str">
        <x:v>Master</x:v>
      </x:c>
      <x:c r="B62" s="85" t="str">
        <x:v>TNDC-062</x:v>
      </x:c>
      <x:c r="C62" s="85" t="str">
        <x:v>Windstream Bristol Data Center</x:v>
      </x:c>
      <x:c r="D62" s="85" t="str">
        <x:v>Bristol</x:v>
      </x:c>
      <x:c r="E62" s="85" t="str">
        <x:v>112 6th St</x:v>
      </x:c>
      <x:c r="F62" s="85" t="n">
        <x:v>36.593557</x:v>
      </x:c>
      <x:c r="G62" s="85" t="n">
        <x:v>-82.183509</x:v>
      </x:c>
      <x:c r="H62" s="85" t="str">
        <x:v>address_or_site</x:v>
      </x:c>
      <x:c r="I62" s="85" t="str">
        <x:v>high</x:v>
      </x:c>
      <x:c r="J62" s="85" t="str"/>
      <x:c r="K62" s="85" t="str">
        <x:v>RESOLVED</x:v>
      </x:c>
      <x:c r="L62" s="85" t="str">
        <x:v>Address/site-level location fully populated at high confidence.</x:v>
      </x:c>
    </x:row>
    <x:row r="63">
      <x:c r="A63" s="85" t="str">
        <x:v>Candidate</x:v>
      </x:c>
      <x:c r="B63" s="85" t="str">
        <x:v>TNCAND-002</x:v>
      </x:c>
      <x:c r="C63" s="85" t="str">
        <x:v>Horizon Center TVA Certified Data Center Site</x:v>
      </x:c>
      <x:c r="D63" s="85" t="str">
        <x:v>Oak Ridge</x:v>
      </x:c>
      <x:c r="E63" s="85" t="str">
        <x:v>Renovare Rd / Horizon Center Development Area 5</x:v>
      </x:c>
      <x:c r="F63" s="85" t="n">
        <x:v>35.968063</x:v>
      </x:c>
      <x:c r="G63" s="85" t="n">
        <x:v>-84.35597</x:v>
      </x:c>
      <x:c r="H63" s="85" t="str">
        <x:v>approximate_site</x:v>
      </x:c>
      <x:c r="I63" s="85" t="str">
        <x:v>medium</x:v>
      </x:c>
      <x:c r="J63" s="85" t="str"/>
      <x:c r="K63" s="85" t="str">
        <x:v>COMPLIANT_PARTIAL</x:v>
      </x:c>
      <x:c r="L63" s="85" t="str">
        <x:v>Best defensible candidate coordinate retained with explicit approximate precision.</x:v>
      </x:c>
    </x:row>
    <x:row r="64">
      <x:c r="A64" s="85" t="str">
        <x:v>Candidate</x:v>
      </x:c>
      <x:c r="B64" s="85" t="str">
        <x:v>TNCAND-003</x:v>
      </x:c>
      <x:c r="C64" s="85" t="str">
        <x:v>Corridor Park Lots 21 &amp; 23 TVA Certified Data Center Site</x:v>
      </x:c>
      <x:c r="D64" s="85" t="str">
        <x:v>Knoxville</x:v>
      </x:c>
      <x:c r="E64" s="85" t="str">
        <x:v>Corridor Park Blvd</x:v>
      </x:c>
      <x:c r="F64" s="85" t="n">
        <x:v>35.92338</x:v>
      </x:c>
      <x:c r="G64" s="85" t="n">
        <x:v>-84.14133</x:v>
      </x:c>
      <x:c r="H64" s="85" t="str">
        <x:v>address_or_site</x:v>
      </x:c>
      <x:c r="I64" s="85" t="str">
        <x:v>high</x:v>
      </x:c>
      <x:c r="J64" s="85" t="str"/>
      <x:c r="K64" s="85" t="str">
        <x:v>RESOLVED</x:v>
      </x:c>
      <x:c r="L64" s="85" t="str">
        <x:v>Candidate location fully populated at address/site level.</x:v>
      </x:c>
    </x:row>
    <x:row r="65">
      <x:c r="A65" s="85" t="str">
        <x:v>Candidate</x:v>
      </x:c>
      <x:c r="B65" s="85" t="str">
        <x:v>TNCAND-004</x:v>
      </x:c>
      <x:c r="C65" s="85" t="str">
        <x:v>Tiger Jones Technology Park Enterprise Data Center Site</x:v>
      </x:c>
      <x:c r="D65" s="85" t="str">
        <x:v>Jackson</x:v>
      </x:c>
      <x:c r="E65" s="85" t="str">
        <x:v>3300 Ridgecrest Road</x:v>
      </x:c>
      <x:c r="F65" s="85" t="n">
        <x:v>35.671471</x:v>
      </x:c>
      <x:c r="G65" s="85" t="n">
        <x:v>-88.764892</x:v>
      </x:c>
      <x:c r="H65" s="85" t="str">
        <x:v>address_or_site</x:v>
      </x:c>
      <x:c r="I65" s="85" t="str">
        <x:v>high</x:v>
      </x:c>
      <x:c r="J65" s="85" t="str"/>
      <x:c r="K65" s="85" t="str">
        <x:v>RESOLVED</x:v>
      </x:c>
      <x:c r="L65" s="85" t="str">
        <x:v>Candidate location fully populated at address/site level.</x:v>
      </x:c>
    </x:row>
    <x:row r="66">
      <x:c r="A66" s="85" t="str">
        <x:v>Candidate</x:v>
      </x:c>
      <x:c r="B66" s="85" t="str">
        <x:v>TNCAND-005</x:v>
      </x:c>
      <x:c r="C66" s="85" t="str">
        <x:v>GRIID Jackson 60 MW Bitcoin Mining Project</x:v>
      </x:c>
      <x:c r="D66" s="85" t="str">
        <x:v>Jackson</x:v>
      </x:c>
      <x:c r="E66" s="85" t="str">
        <x:v>2342 North Parkway East</x:v>
      </x:c>
      <x:c r="F66" s="85"/>
      <x:c r="G66" s="85"/>
      <x:c r="H66" s="85" t="str">
        <x:v>address_or_site</x:v>
      </x:c>
      <x:c r="I66" s="85" t="str">
        <x:v>high</x:v>
      </x:c>
      <x:c r="J66" s="85" t="str">
        <x:v>postal_code | latitude | longitude</x:v>
      </x:c>
      <x:c r="K66" s="85" t="str">
        <x:v>RESEARCH_REMAINING</x:v>
      </x:c>
      <x:c r="L66" s="85" t="str">
        <x:v>Address/parcel may be known, but a defensible WGS84 target point has not yet been exposed.</x:v>
      </x:c>
    </x:row>
    <x:row r="67">
      <x:c r="A67" s="85" t="str">
        <x:v>Candidate</x:v>
      </x:c>
      <x:c r="B67" s="85" t="str">
        <x:v>TNCAND-006</x:v>
      </x:c>
      <x:c r="C67" s="85" t="str">
        <x:v>Atmosphere Nashville 120 MW Campus</x:v>
      </x:c>
      <x:c r="D67" s="85" t="str">
        <x:v>Nashville</x:v>
      </x:c>
      <x:c r="E67" s="85"/>
      <x:c r="F67" s="85" t="str"/>
      <x:c r="G67" s="85" t="str"/>
      <x:c r="H67" s="85" t="str">
        <x:v>area_or_city</x:v>
      </x:c>
      <x:c r="I67" s="85" t="str">
        <x:v>low</x:v>
      </x:c>
      <x:c r="J67" s="85" t="str">
        <x:v>exact_site|latitude|longitude</x:v>
      </x:c>
      <x:c r="K67" s="85" t="str">
        <x:v>MARKET_ONLY</x:v>
      </x:c>
      <x:c r="L67" s="85" t="str">
        <x:v>Developer discloses Nashville project but no site. Removed the physically inconsistent market pin from spatial use.</x:v>
      </x:c>
    </x:row>
    <x:row r="68">
      <x:c r="A68" s="85" t="str">
        <x:v>Candidate</x:v>
      </x:c>
      <x:c r="B68" s="85" t="str">
        <x:v>TNCAND-007</x:v>
      </x:c>
      <x:c r="C68" s="85" t="str">
        <x:v>Tennessee State Data Center South</x:v>
      </x:c>
      <x:c r="D68" s="85" t="str">
        <x:v>Smyrna</x:v>
      </x:c>
      <x:c r="E68" s="85" t="str">
        <x:v>92 Weakley Ln</x:v>
      </x:c>
      <x:c r="F68" s="85" t="n">
        <x:v>35.993554</x:v>
      </x:c>
      <x:c r="G68" s="85" t="n">
        <x:v>-86.4994229</x:v>
      </x:c>
      <x:c r="H68" s="85" t="str">
        <x:v>approximate_site</x:v>
      </x:c>
      <x:c r="I68" s="85" t="str">
        <x:v>medium</x:v>
      </x:c>
      <x:c r="J68" s="85" t="str"/>
      <x:c r="K68" s="85" t="str">
        <x:v>COMPLIANT_PARTIAL</x:v>
      </x:c>
      <x:c r="L68" s="85" t="str">
        <x:v>Best defensible candidate coordinate retained with explicit approximate precision.</x:v>
      </x:c>
    </x:row>
    <x:row r="69">
      <x:c r="A69" s="85" t="str">
        <x:v>Candidate</x:v>
      </x:c>
      <x:c r="B69" s="85" t="str">
        <x:v>TNCAND-008</x:v>
      </x:c>
      <x:c r="C69" s="85" t="str">
        <x:v>Tennessee State Data Center North</x:v>
      </x:c>
      <x:c r="D69" s="85" t="str">
        <x:v>Nashville</x:v>
      </x:c>
      <x:c r="E69" s="85" t="str">
        <x:v>901 5th Ave N</x:v>
      </x:c>
      <x:c r="F69" s="85" t="n">
        <x:v>36.171264</x:v>
      </x:c>
      <x:c r="G69" s="85" t="n">
        <x:v>-86.785312</x:v>
      </x:c>
      <x:c r="H69" s="85" t="str">
        <x:v>address_or_site</x:v>
      </x:c>
      <x:c r="I69" s="85" t="str">
        <x:v>high</x:v>
      </x:c>
      <x:c r="J69" s="85" t="str"/>
      <x:c r="K69" s="85" t="str">
        <x:v>RESOLVED</x:v>
      </x:c>
      <x:c r="L69" s="85" t="str">
        <x:v>Candidate location fully populated at address/site level.</x:v>
      </x:c>
    </x:row>
    <x:row r="70">
      <x:c r="A70" s="85" t="str">
        <x:v>Candidate</x:v>
      </x:c>
      <x:c r="B70" s="85" t="str">
        <x:v>TNCAND-009</x:v>
      </x:c>
      <x:c r="C70" s="85" t="str">
        <x:v>Oak Ridge Leadership Computing Facility</x:v>
      </x:c>
      <x:c r="D70" s="85" t="str">
        <x:v>Oak Ridge</x:v>
      </x:c>
      <x:c r="E70" s="85" t="str">
        <x:v>One Bethel Valley Rd</x:v>
      </x:c>
      <x:c r="F70" s="85" t="n">
        <x:v>35.9313055556</x:v>
      </x:c>
      <x:c r="G70" s="85" t="n">
        <x:v>-84.3104166667</x:v>
      </x:c>
      <x:c r="H70" s="85" t="str">
        <x:v>address_or_site</x:v>
      </x:c>
      <x:c r="I70" s="85" t="str">
        <x:v>high</x:v>
      </x:c>
      <x:c r="J70" s="85" t="str"/>
      <x:c r="K70" s="85" t="str">
        <x:v>RESOLVED</x:v>
      </x:c>
      <x:c r="L70" s="85" t="str">
        <x:v>Candidate location fully populated at address/site level.</x:v>
      </x:c>
    </x:row>
    <x:row r="71">
      <x:c r="A71" s="85" t="str">
        <x:v>Candidate</x:v>
      </x:c>
      <x:c r="B71" s="85" t="str">
        <x:v>TNCAND-010</x:v>
      </x:c>
      <x:c r="C71" s="85" t="str">
        <x:v>National Institute for Computational Sciences Facility</x:v>
      </x:c>
      <x:c r="D71" s="85" t="str">
        <x:v>Oak Ridge</x:v>
      </x:c>
      <x:c r="E71" s="85" t="str">
        <x:v>One Bethel Valley Rd, Bldg 5100</x:v>
      </x:c>
      <x:c r="F71" s="85" t="n">
        <x:v>35.9313055556</x:v>
      </x:c>
      <x:c r="G71" s="85" t="n">
        <x:v>-84.3104166667</x:v>
      </x:c>
      <x:c r="H71" s="85" t="str">
        <x:v>approximate_site</x:v>
      </x:c>
      <x:c r="I71" s="85" t="str">
        <x:v>medium</x:v>
      </x:c>
      <x:c r="J71" s="85" t="str"/>
      <x:c r="K71" s="85" t="str">
        <x:v>COMPLIANT_PARTIAL</x:v>
      </x:c>
      <x:c r="L71" s="85" t="str">
        <x:v>Best defensible candidate coordinate retained with explicit approximate precision.</x:v>
      </x:c>
    </x:row>
    <x:row r="72">
      <x:c r="A72" s="85" t="str">
        <x:v>Candidate</x:v>
      </x:c>
      <x:c r="B72" s="85" t="str">
        <x:v>TNCAND-011</x:v>
      </x:c>
      <x:c r="C72" s="85" t="str">
        <x:v>Vanderbilt ACCRE Data Center Rooms</x:v>
      </x:c>
      <x:c r="D72" s="85" t="str">
        <x:v>Nashville</x:v>
      </x:c>
      <x:c r="E72" s="85" t="str">
        <x:v>1231 18th Avenue South (Hill Center, Suite 134)</x:v>
      </x:c>
      <x:c r="F72" s="85" t="n">
        <x:v>36.142856</x:v>
      </x:c>
      <x:c r="G72" s="85" t="n">
        <x:v>-86.796033</x:v>
      </x:c>
      <x:c r="H72" s="85" t="str">
        <x:v>address_or_site</x:v>
      </x:c>
      <x:c r="I72" s="85" t="str">
        <x:v>high</x:v>
      </x:c>
      <x:c r="J72" s="85" t="str"/>
      <x:c r="K72" s="85" t="str">
        <x:v>RESOLVED</x:v>
      </x:c>
      <x:c r="L72" s="85" t="str">
        <x:v>Candidate location fully populated at address/site level.</x:v>
      </x:c>
    </x:row>
    <x:row r="73">
      <x:c r="A73" s="85" t="str">
        <x:v>Candidate</x:v>
      </x:c>
      <x:c r="B73" s="85" t="str">
        <x:v>TNCAND-012</x:v>
      </x:c>
      <x:c r="C73" s="85" t="str">
        <x:v>Scipio Technologies NREP Listing</x:v>
      </x:c>
      <x:c r="D73" s="85" t="str">
        <x:v>Nashville</x:v>
      </x:c>
      <x:c r="E73" s="85" t="str">
        <x:v>1661 Murfreesboro Pike</x:v>
      </x:c>
      <x:c r="F73" s="85"/>
      <x:c r="G73" s="85"/>
      <x:c r="H73" s="85" t="str">
        <x:v>address_or_site</x:v>
      </x:c>
      <x:c r="I73" s="85" t="str">
        <x:v>high</x:v>
      </x:c>
      <x:c r="J73" s="85" t="str">
        <x:v>none_linked_duplicate</x:v>
      </x:c>
      <x:c r="K73" s="85" t="str">
        <x:v>LINKED_TO_MASTER</x:v>
      </x:c>
      <x:c r="L73" s="85" t="str">
        <x:v>Shared public address links Scipio evidence to TNDC-038; not a distinct facility point.</x:v>
      </x:c>
    </x:row>
    <x:row r="74">
      <x:c r="A74" s="85" t="str">
        <x:v>Candidate</x:v>
      </x:c>
      <x:c r="B74" s="85" t="str">
        <x:v>TNCAND-013</x:v>
      </x:c>
      <x:c r="C74" s="85" t="str">
        <x:v>Airnet / Dataprise Chattanooga</x:v>
      </x:c>
      <x:c r="D74" s="85" t="str">
        <x:v>Chattanooga</x:v>
      </x:c>
      <x:c r="E74" s="85" t="str">
        <x:v>801 Broad Street</x:v>
      </x:c>
      <x:c r="F74" s="85" t="n">
        <x:v>35.046874</x:v>
      </x:c>
      <x:c r="G74" s="85" t="n">
        <x:v>-85.311133</x:v>
      </x:c>
      <x:c r="H74" s="85" t="str">
        <x:v>address_or_site</x:v>
      </x:c>
      <x:c r="I74" s="85" t="str">
        <x:v>high</x:v>
      </x:c>
      <x:c r="J74" s="85" t="str"/>
      <x:c r="K74" s="85" t="str">
        <x:v>RESOLVED</x:v>
      </x:c>
      <x:c r="L74" s="85" t="str">
        <x:v>Candidate location fully populated at address/site level.</x:v>
      </x:c>
    </x:row>
    <x:row r="75">
      <x:c r="A75" s="85" t="str">
        <x:v>Candidate</x:v>
      </x:c>
      <x:c r="B75" s="85" t="str">
        <x:v>TNCAND-014</x:v>
      </x:c>
      <x:c r="C75" s="85" t="str">
        <x:v>Windstream Nashville — 940 3rd Ave N</x:v>
      </x:c>
      <x:c r="D75" s="85" t="str">
        <x:v>Nashville</x:v>
      </x:c>
      <x:c r="E75" s="85" t="str">
        <x:v>940 3rd Ave N</x:v>
      </x:c>
      <x:c r="F75" s="85" t="n">
        <x:v>36.173667</x:v>
      </x:c>
      <x:c r="G75" s="85" t="n">
        <x:v>-86.7835769</x:v>
      </x:c>
      <x:c r="H75" s="85" t="str">
        <x:v>address_or_site</x:v>
      </x:c>
      <x:c r="I75" s="85" t="str">
        <x:v>high</x:v>
      </x:c>
      <x:c r="J75" s="85" t="str"/>
      <x:c r="K75" s="85" t="str">
        <x:v>RESOLVED</x:v>
      </x:c>
      <x:c r="L75" s="85" t="str">
        <x:v>Candidate location fully populated at address/site level.</x:v>
      </x:c>
    </x:row>
    <x:row r="76">
      <x:c r="A76" s="85" t="str">
        <x:v>Candidate</x:v>
      </x:c>
      <x:c r="B76" s="85" t="str">
        <x:v>TNCAND-015</x:v>
      </x:c>
      <x:c r="C76" s="85" t="str">
        <x:v>Verizon / XO Memphis</x:v>
      </x:c>
      <x:c r="D76" s="85" t="str">
        <x:v>Memphis</x:v>
      </x:c>
      <x:c r="E76" s="85" t="str">
        <x:v>5127 Truse Rd</x:v>
      </x:c>
      <x:c r="F76" s="85" t="n">
        <x:v>35.1086604</x:v>
      </x:c>
      <x:c r="G76" s="85" t="n">
        <x:v>-89.8910128</x:v>
      </x:c>
      <x:c r="H76" s="85" t="str">
        <x:v>address_or_site</x:v>
      </x:c>
      <x:c r="I76" s="85" t="str">
        <x:v>high</x:v>
      </x:c>
      <x:c r="J76" s="85" t="str"/>
      <x:c r="K76" s="85" t="str">
        <x:v>RESOLVED</x:v>
      </x:c>
      <x:c r="L76" s="85" t="str">
        <x:v>Candidate location fully populated at address/site level.</x:v>
      </x:c>
    </x:row>
    <x:row r="77">
      <x:c r="A77" s="85" t="str">
        <x:v>Candidate</x:v>
      </x:c>
      <x:c r="B77" s="85" t="str">
        <x:v>TNCAND-016</x:v>
      </x:c>
      <x:c r="C77" s="85" t="str">
        <x:v>Lumen Memphis 2 / former tw telecom</x:v>
      </x:c>
      <x:c r="D77" s="85" t="str">
        <x:v>Memphis</x:v>
      </x:c>
      <x:c r="E77" s="85" t="str">
        <x:v>5425 E Raines Rd</x:v>
      </x:c>
      <x:c r="F77" s="85" t="n">
        <x:v>35.0344101</x:v>
      </x:c>
      <x:c r="G77" s="85" t="n">
        <x:v>-89.883273</x:v>
      </x:c>
      <x:c r="H77" s="85" t="str">
        <x:v>address_or_site</x:v>
      </x:c>
      <x:c r="I77" s="85" t="str">
        <x:v>high</x:v>
      </x:c>
      <x:c r="J77" s="85" t="str"/>
      <x:c r="K77" s="85" t="str">
        <x:v>RESOLVED</x:v>
      </x:c>
      <x:c r="L77" s="85" t="str">
        <x:v>Candidate location fully populated at address/site level.</x:v>
      </x:c>
    </x:row>
    <x:row r="78">
      <x:c r="A78" s="85" t="str">
        <x:v>Candidate</x:v>
      </x:c>
      <x:c r="B78" s="85" t="str">
        <x:v>TNCAND-017</x:v>
      </x:c>
      <x:c r="C78" s="85" t="str">
        <x:v>CleanSpark Mountain City 30 MW Bitcoin Mining Proposal</x:v>
      </x:c>
      <x:c r="D78" s="85" t="str">
        <x:v>Mountain City</x:v>
      </x:c>
      <x:c r="E78" s="85" t="str">
        <x:v>178 Rainbow Rd</x:v>
      </x:c>
      <x:c r="F78" s="85"/>
      <x:c r="G78" s="85"/>
      <x:c r="H78" s="85" t="str">
        <x:v>address_or_site</x:v>
      </x:c>
      <x:c r="I78" s="85" t="str">
        <x:v>high</x:v>
      </x:c>
      <x:c r="J78" s="85" t="str">
        <x:v>latitude | longitude</x:v>
      </x:c>
      <x:c r="K78" s="85" t="str">
        <x:v>RESEARCH_REMAINING</x:v>
      </x:c>
      <x:c r="L78" s="85" t="str">
        <x:v>Address/parcel may be known, but a defensible WGS84 target point has not yet been exposed.</x:v>
      </x:c>
    </x:row>
  </x:sheetData>
  <x:pageMargins left="0.7" right="0.7" top="0.75" bottom="0.75" header="0.3" footer="0.3"/>
</x:worksheet>
</file>