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9a75d9f5ba4423" /></Relationships>
</file>

<file path=xl/workbook.xml><?xml version="1.0" encoding="utf-8"?>
<x:workbook xmlns:x="http://schemas.openxmlformats.org/spreadsheetml/2006/main">
  <x:sheets>
    <x:sheet xmlns:r="http://schemas.openxmlformats.org/officeDocument/2006/relationships" name="README" sheetId="1" r:id="R5ac92023e7b8402a"/>
    <x:sheet xmlns:r="http://schemas.openxmlformats.org/officeDocument/2006/relationships" name="Summary" sheetId="2" r:id="R9e0b0a95ff024360"/>
    <x:sheet xmlns:r="http://schemas.openxmlformats.org/officeDocument/2006/relationships" name="Master" sheetId="3" r:id="R232f2a6fcf5e4c45"/>
    <x:sheet xmlns:r="http://schemas.openxmlformats.org/officeDocument/2006/relationships" name="Raw_Aligned" sheetId="4" r:id="R5bed570c70b14e06"/>
    <x:sheet xmlns:r="http://schemas.openxmlformats.org/officeDocument/2006/relationships" name="Match_Audit" sheetId="5" r:id="R0f13595a73b44b1e"/>
    <x:sheet xmlns:r="http://schemas.openxmlformats.org/officeDocument/2006/relationships" name="Review_Pairs" sheetId="6" r:id="R4956a203b79249cf"/>
    <x:sheet xmlns:r="http://schemas.openxmlformats.org/officeDocument/2006/relationships" name="Excluded_Support" sheetId="7" r:id="R784c14e5afad4fe5"/>
    <x:sheet xmlns:r="http://schemas.openxmlformats.org/officeDocument/2006/relationships" name="Field_Map" sheetId="8" r:id="R92bcb7a7a9d84a4c"/>
    <x:sheet xmlns:r="http://schemas.openxmlformats.org/officeDocument/2006/relationships" name="Candidate_Sites" sheetId="9" r:id="Re46971f5cb76403c"/>
    <x:sheet xmlns:r="http://schemas.openxmlformats.org/officeDocument/2006/relationships" name="Change_Log" sheetId="10" r:id="R1008d6c561ad4825"/>
    <x:sheet xmlns:r="http://schemas.openxmlformats.org/officeDocument/2006/relationships" name="Proposal_Readiness" sheetId="11" r:id="R5b1799a13da84214"/>
    <x:sheet xmlns:r="http://schemas.openxmlformats.org/officeDocument/2006/relationships" name="Review_Queue" sheetId="12" r:id="R62431bf89c8c4840"/>
    <x:sheet xmlns:r="http://schemas.openxmlformats.org/officeDocument/2006/relationships" name="Location_Audit" sheetId="13" r:id="Rd205eed25ecf45e8"/>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 numFmtId="210" formatCode="@"/>
    <x:numFmt numFmtId="211" formatCode="0.0"/>
  </x:numFmts>
  <x:fonts count="12">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
      <x:b/>
      <x:sz val="10"/>
      <x:color rgb="FFFFFFFF"/>
      <x:name val="Arial"/>
    </x:font>
    <x:font>
      <x:sz val="9"/>
      <x:color rgb="FF222222"/>
      <x:name val="Arial"/>
    </x:font>
    <x:font>
      <x:sz val="11"/>
      <x:color rgb="FF000000"/>
      <x:name val="Carlito"/>
    </x:font>
  </x:fonts>
  <x:fills count="23">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53B5B"/>
      </x:patternFill>
    </x:fill>
  </x:fills>
  <x:borders count="17">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2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0" fontId="0" fillId="19" borderId="0" xfId="0" applyNumberFormat="1" applyFont="1" applyFill="1" applyBorder="1"/>
    <x:xf numFmtId="0" fontId="9" fillId="19" borderId="0" xfId="0" applyNumberFormat="1" applyFont="1" applyFill="1" applyBorder="1"/>
    <x:xf numFmtId="0" fontId="9" fillId="19" borderId="14" xfId="0" applyNumberFormat="1" applyFont="1" applyFill="1" applyBorder="1"/>
    <x:xf numFmtId="0" fontId="9" fillId="19" borderId="15" xfId="0" applyNumberFormat="1" applyFont="1" applyFill="1" applyBorder="1"/>
    <x:xf numFmtId="0" fontId="9" fillId="19" borderId="16" xfId="0" applyNumberFormat="1" applyFont="1" applyFill="1" applyBorder="1"/>
    <x:xf numFmtId="0" fontId="9" fillId="19" borderId="14" xfId="0" applyNumberFormat="1" applyFont="1" applyFill="1" applyBorder="1" applyAlignment="1">
      <x:alignment wrapText="1"/>
    </x:xf>
    <x:xf numFmtId="0" fontId="9" fillId="19" borderId="15" xfId="0" applyNumberFormat="1" applyFont="1" applyFill="1" applyBorder="1" applyAlignment="1">
      <x:alignment wrapText="1"/>
    </x:xf>
    <x:xf numFmtId="0" fontId="9" fillId="19" borderId="16" xfId="0" applyNumberFormat="1" applyFont="1" applyFill="1" applyBorder="1" applyAlignment="1">
      <x:alignment wrapText="1"/>
    </x:xf>
    <x:xf numFmtId="0" fontId="9" fillId="19" borderId="14" xfId="0" applyNumberFormat="1" applyFont="1" applyFill="1" applyBorder="1" applyAlignment="1">
      <x:alignment horizontal="center" wrapText="1"/>
    </x:xf>
    <x:xf numFmtId="0" fontId="9" fillId="19" borderId="15" xfId="0" applyNumberFormat="1" applyFont="1" applyFill="1" applyBorder="1" applyAlignment="1">
      <x:alignment horizontal="center" wrapText="1"/>
    </x:xf>
    <x:xf numFmtId="0" fontId="9" fillId="19" borderId="16" xfId="0" applyNumberFormat="1" applyFont="1" applyFill="1" applyBorder="1" applyAlignment="1">
      <x:alignment horizontal="center" wrapText="1"/>
    </x:xf>
    <x:xf numFmtId="0" fontId="9" fillId="19" borderId="14" xfId="0" applyNumberFormat="1" applyFont="1" applyFill="1" applyBorder="1" applyAlignment="1">
      <x:alignment horizontal="center" vertical="center" wrapText="1"/>
    </x:xf>
    <x:xf numFmtId="0" fontId="9" fillId="19" borderId="15" xfId="0" applyNumberFormat="1" applyFont="1" applyFill="1" applyBorder="1" applyAlignment="1">
      <x:alignment horizontal="center" vertical="center" wrapText="1"/>
    </x:xf>
    <x:xf numFmtId="0" fontId="9" fillId="19" borderId="16"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vertical="top"/>
    </x:xf>
    <x:xf numFmtId="204" fontId="9" fillId="19" borderId="15" xfId="0" applyNumberFormat="1" applyFont="1" applyFill="1" applyBorder="1" applyAlignment="1">
      <x:alignment horizontal="center" vertical="center" wrapText="1"/>
    </x:xf>
    <x:xf numFmtId="204" fontId="10" fillId="0" borderId="0" xfId="0" applyNumberFormat="1" applyFont="1" applyFill="1" applyBorder="1" applyAlignment="1">
      <x:alignment vertical="top"/>
    </x:xf>
    <x:xf numFmtId="201" fontId="9" fillId="19" borderId="15" xfId="0" applyNumberFormat="1" applyFont="1" applyFill="1" applyBorder="1" applyAlignment="1">
      <x:alignment horizontal="center" vertical="center" wrapText="1"/>
    </x:xf>
    <x:xf numFmtId="201" fontId="10" fillId="0" borderId="0" xfId="0" applyNumberFormat="1" applyFont="1" applyFill="1" applyBorder="1" applyAlignment="1">
      <x:alignment vertical="top"/>
    </x:xf>
    <x:xf numFmtId="207" fontId="9" fillId="19" borderId="15" xfId="0" applyNumberFormat="1" applyFont="1" applyFill="1" applyBorder="1" applyAlignment="1">
      <x:alignment horizontal="center" vertical="center" wrapText="1"/>
    </x:xf>
    <x:xf numFmtId="207" fontId="10" fillId="0" borderId="0" xfId="0" applyNumberFormat="1" applyFont="1" applyFill="1" applyBorder="1" applyAlignment="1">
      <x:alignment vertical="top"/>
    </x:xf>
    <x:xf numFmtId="210" fontId="9" fillId="19" borderId="15" xfId="0" applyNumberFormat="1" applyFont="1" applyFill="1" applyBorder="1" applyAlignment="1">
      <x:alignment horizontal="center" vertical="center" wrapText="1"/>
    </x:xf>
    <x:xf numFmtId="210" fontId="10" fillId="0" borderId="0" xfId="0" applyNumberFormat="1" applyFont="1" applyFill="1" applyBorder="1" applyAlignment="1">
      <x:alignment vertical="top"/>
    </x:xf>
    <x:xf numFmtId="204" fontId="9" fillId="19" borderId="16" xfId="0" applyNumberFormat="1" applyFont="1" applyFill="1" applyBorder="1" applyAlignment="1">
      <x:alignment horizontal="center" vertical="center" wrapText="1"/>
    </x:xf>
    <x:xf numFmtId="0" fontId="10" fillId="0" borderId="0" xfId="0" applyNumberFormat="1" applyFont="1" applyFill="1" applyBorder="1" applyAlignment="1">
      <x:alignment vertical="top" wrapText="1"/>
    </x:xf>
    <x:xf numFmtId="211" fontId="9" fillId="19" borderId="16" xfId="0" applyNumberFormat="1" applyFont="1" applyFill="1" applyBorder="1" applyAlignment="1">
      <x:alignment horizontal="center" vertical="center" wrapText="1"/>
    </x:xf>
    <x:xf numFmtId="211" fontId="10" fillId="0" borderId="0" xfId="0" applyNumberFormat="1" applyFont="1" applyFill="1" applyBorder="1" applyAlignment="1">
      <x:alignment vertical="top"/>
    </x:xf>
    <x:xf numFmtId="0" fontId="0" fillId="20" borderId="0" xfId="0" applyNumberFormat="1" applyFont="1" applyFill="1" applyBorder="1"/>
    <x:xf numFmtId="0" fontId="9" fillId="20" borderId="0" xfId="0" applyNumberFormat="1" applyFont="1" applyFill="1" applyBorder="1"/>
    <x:xf numFmtId="0" fontId="9" fillId="20" borderId="14" xfId="0" applyNumberFormat="1" applyFont="1" applyFill="1" applyBorder="1"/>
    <x:xf numFmtId="0" fontId="9" fillId="20" borderId="15" xfId="0" applyNumberFormat="1" applyFont="1" applyFill="1" applyBorder="1"/>
    <x:xf numFmtId="0" fontId="9" fillId="20" borderId="16" xfId="0" applyNumberFormat="1" applyFont="1" applyFill="1" applyBorder="1"/>
    <x:xf numFmtId="0" fontId="9" fillId="20" borderId="14" xfId="0" applyNumberFormat="1" applyFont="1" applyFill="1" applyBorder="1" applyAlignment="1">
      <x:alignment wrapText="1"/>
    </x:xf>
    <x:xf numFmtId="0" fontId="9" fillId="20" borderId="15" xfId="0" applyNumberFormat="1" applyFont="1" applyFill="1" applyBorder="1" applyAlignment="1">
      <x:alignment wrapText="1"/>
    </x:xf>
    <x:xf numFmtId="0" fontId="9" fillId="20" borderId="16" xfId="0" applyNumberFormat="1" applyFont="1" applyFill="1" applyBorder="1" applyAlignment="1">
      <x:alignment wrapText="1"/>
    </x:xf>
    <x:xf numFmtId="0" fontId="9" fillId="20" borderId="14" xfId="0" applyNumberFormat="1" applyFont="1" applyFill="1" applyBorder="1" applyAlignment="1">
      <x:alignment horizontal="center" wrapText="1"/>
    </x:xf>
    <x:xf numFmtId="0" fontId="9" fillId="20" borderId="15" xfId="0" applyNumberFormat="1" applyFont="1" applyFill="1" applyBorder="1" applyAlignment="1">
      <x:alignment horizontal="center" wrapText="1"/>
    </x:xf>
    <x:xf numFmtId="0" fontId="9" fillId="20" borderId="16" xfId="0" applyNumberFormat="1" applyFont="1" applyFill="1" applyBorder="1" applyAlignment="1">
      <x:alignment horizontal="center" wrapText="1"/>
    </x:xf>
    <x:xf numFmtId="0" fontId="9" fillId="20" borderId="14" xfId="0" applyNumberFormat="1" applyFont="1" applyFill="1" applyBorder="1" applyAlignment="1">
      <x:alignment horizontal="center" vertical="center" wrapText="1"/>
    </x:xf>
    <x:xf numFmtId="0" fontId="9" fillId="20" borderId="15" xfId="0" applyNumberFormat="1" applyFont="1" applyFill="1" applyBorder="1" applyAlignment="1">
      <x:alignment horizontal="center" vertical="center" wrapText="1"/>
    </x:xf>
    <x:xf numFmtId="0" fontId="9" fillId="20" borderId="16" xfId="0" applyNumberFormat="1" applyFont="1" applyFill="1" applyBorder="1" applyAlignment="1">
      <x:alignment horizontal="center" vertical="center" wrapText="1"/>
    </x:xf>
    <x:xf numFmtId="204" fontId="9" fillId="20" borderId="15" xfId="0" applyNumberFormat="1" applyFont="1" applyFill="1" applyBorder="1" applyAlignment="1">
      <x:alignment horizontal="center" vertical="center" wrapText="1"/>
    </x:xf>
    <x:xf numFmtId="201" fontId="9" fillId="20" borderId="15" xfId="0" applyNumberFormat="1" applyFont="1" applyFill="1" applyBorder="1" applyAlignment="1">
      <x:alignment horizontal="center" vertical="center" wrapText="1"/>
    </x:xf>
    <x:xf numFmtId="207" fontId="9" fillId="20" borderId="15" xfId="0" applyNumberFormat="1" applyFont="1" applyFill="1" applyBorder="1" applyAlignment="1">
      <x:alignment horizontal="center" vertical="center" wrapText="1"/>
    </x:xf>
    <x:xf numFmtId="210" fontId="9" fillId="20" borderId="15" xfId="0" applyNumberFormat="1" applyFont="1" applyFill="1" applyBorder="1" applyAlignment="1">
      <x:alignment horizontal="center" vertical="center" wrapText="1"/>
    </x:xf>
    <x:xf numFmtId="204" fontId="9" fillId="20" borderId="16" xfId="0" applyNumberFormat="1" applyFont="1" applyFill="1" applyBorder="1" applyAlignment="1">
      <x:alignment horizontal="center" vertical="center" wrapText="1"/>
    </x:xf>
    <x:xf numFmtId="0" fontId="0" fillId="21" borderId="0" xfId="0" applyNumberFormat="1" applyFont="1" applyFill="1" applyBorder="1"/>
    <x:xf numFmtId="0" fontId="9" fillId="21" borderId="0" xfId="0" applyNumberFormat="1" applyFont="1" applyFill="1" applyBorder="1"/>
    <x:xf numFmtId="0" fontId="9" fillId="21" borderId="14" xfId="0" applyNumberFormat="1" applyFont="1" applyFill="1" applyBorder="1"/>
    <x:xf numFmtId="0" fontId="9" fillId="21" borderId="15" xfId="0" applyNumberFormat="1" applyFont="1" applyFill="1" applyBorder="1"/>
    <x:xf numFmtId="0" fontId="9" fillId="21" borderId="16" xfId="0" applyNumberFormat="1" applyFont="1" applyFill="1" applyBorder="1"/>
    <x:xf numFmtId="0" fontId="9" fillId="21" borderId="14" xfId="0" applyNumberFormat="1" applyFont="1" applyFill="1" applyBorder="1" applyAlignment="1">
      <x:alignment wrapText="1"/>
    </x:xf>
    <x:xf numFmtId="0" fontId="9" fillId="21" borderId="15" xfId="0" applyNumberFormat="1" applyFont="1" applyFill="1" applyBorder="1" applyAlignment="1">
      <x:alignment wrapText="1"/>
    </x:xf>
    <x:xf numFmtId="0" fontId="9" fillId="21" borderId="16" xfId="0" applyNumberFormat="1" applyFont="1" applyFill="1" applyBorder="1" applyAlignment="1">
      <x:alignment wrapText="1"/>
    </x:xf>
    <x:xf numFmtId="0" fontId="9" fillId="21" borderId="14" xfId="0" applyNumberFormat="1" applyFont="1" applyFill="1" applyBorder="1" applyAlignment="1">
      <x:alignment horizontal="center" wrapText="1"/>
    </x:xf>
    <x:xf numFmtId="0" fontId="9" fillId="21" borderId="15" xfId="0" applyNumberFormat="1" applyFont="1" applyFill="1" applyBorder="1" applyAlignment="1">
      <x:alignment horizontal="center" wrapText="1"/>
    </x:xf>
    <x:xf numFmtId="0" fontId="9" fillId="21" borderId="16" xfId="0" applyNumberFormat="1" applyFont="1" applyFill="1" applyBorder="1" applyAlignment="1">
      <x:alignment horizontal="center" wrapText="1"/>
    </x:xf>
    <x:xf numFmtId="0" fontId="9" fillId="21" borderId="14" xfId="0" applyNumberFormat="1" applyFont="1" applyFill="1" applyBorder="1" applyAlignment="1">
      <x:alignment horizontal="center" vertical="center" wrapText="1"/>
    </x:xf>
    <x:xf numFmtId="0" fontId="9" fillId="21" borderId="15" xfId="0" applyNumberFormat="1" applyFont="1" applyFill="1" applyBorder="1" applyAlignment="1">
      <x:alignment horizontal="center" vertical="center" wrapText="1"/>
    </x:xf>
    <x:xf numFmtId="0" fontId="9" fillId="21" borderId="16" xfId="0" applyNumberFormat="1" applyFont="1" applyFill="1" applyBorder="1" applyAlignment="1">
      <x:alignment horizontal="center" vertical="center" wrapText="1"/>
    </x:xf>
    <x:xf numFmtId="211" fontId="9" fillId="21" borderId="16" xfId="0" applyNumberFormat="1" applyFont="1" applyFill="1" applyBorder="1" applyAlignment="1">
      <x:alignment horizontal="center" vertical="center" wrapText="1"/>
    </x:xf>
    <x:xf numFmtId="211" fontId="10" fillId="0"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4" fontId="0" fillId="0" borderId="0" xfId="0" applyNumberFormat="1" applyFont="1" applyFill="1" applyBorder="1"/>
    <x:xf numFmtId="210" fontId="0" fillId="0" borderId="0" xfId="0" applyNumberFormat="1" applyFont="1" applyFill="1" applyBorder="1"/>
    <x:xf numFmtId="207"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0" fillId="22" borderId="0" xfId="0" applyNumberFormat="1" applyFont="1" applyFill="1" applyBorder="1"/>
    <x:xf numFmtId="0" fontId="1" fillId="22" borderId="0" xfId="0" applyNumberFormat="1" applyFont="1" applyFill="1" applyBorder="1"/>
    <x:xf numFmtId="0" fontId="1" fillId="22" borderId="0" xfId="0" applyNumberFormat="1" applyFont="1" applyFill="1" applyBorder="1" applyAlignment="1">
      <x:alignment wrapText="1"/>
    </x:xf>
    <x:xf numFmtId="0" fontId="1" fillId="22" borderId="0" xfId="0" applyNumberFormat="1" applyFont="1" applyFill="1" applyBorder="1" applyAlignment="1">
      <x:alignment horizontal="center" wrapText="1"/>
    </x:xf>
    <x:xf numFmtId="0" fontId="1" fillId="22" borderId="0" xfId="0" applyNumberFormat="1" applyFont="1" applyFill="1" applyBorder="1" applyAlignment="1">
      <x:alignment horizontal="center" vertical="center" wrapText="1"/>
    </x:xf>
    <x:xf numFmtId="0" fontId="11" fillId="0" borderId="0" xfId="0" applyNumberFormat="1" applyFont="1" applyFill="1" applyBorder="1"/>
    <x:xf numFmtId="0" fontId="11"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207" fontId="1" fillId="22" borderId="0" xfId="0" applyNumberFormat="1" applyFont="1" applyFill="1" applyBorder="1" applyAlignment="1">
      <x:alignment horizontal="center" vertical="center" wrapText="1"/>
    </x:xf>
    <x:xf numFmtId="207" fontId="11" fillId="0" borderId="0" xfId="0" applyNumberFormat="1" applyFont="1" applyFill="1" applyBorder="1" applyAlignment="1">
      <x:alignment vertical="top"/>
    </x:xf>
    <x:xf numFmtId="208" fontId="1" fillId="22" borderId="0" xfId="0" applyNumberFormat="1" applyFont="1" applyFill="1" applyBorder="1" applyAlignment="1">
      <x:alignment horizontal="center" vertical="center" wrapText="1"/>
    </x:xf>
    <x:xf numFmtId="208" fontId="11" fillId="0" borderId="0" xfId="0" applyNumberFormat="1" applyFont="1" applyFill="1" applyBorder="1" applyAlignment="1">
      <x:alignment vertical="top"/>
    </x:xf>
    <x:xf numFmtId="204" fontId="1" fillId="22" borderId="0" xfId="0" applyNumberFormat="1" applyFont="1" applyFill="1" applyBorder="1" applyAlignment="1">
      <x:alignment horizontal="center" vertical="center" wrapText="1"/>
    </x:xf>
    <x:xf numFmtId="204" fontId="11" fillId="0" borderId="0" xfId="0" applyNumberFormat="1" applyFont="1" applyFill="1" applyBorder="1" applyAlignment="1">
      <x:alignment vertical="top"/>
    </x:xf>
    <x:xf numFmtId="210" fontId="1" fillId="22" borderId="0" xfId="0" applyNumberFormat="1" applyFont="1" applyFill="1" applyBorder="1" applyAlignment="1">
      <x:alignment horizontal="center" vertical="center" wrapText="1"/>
    </x:xf>
    <x:xf numFmtId="210" fontId="11" fillId="0" borderId="0" xfId="0" applyNumberFormat="1" applyFont="1" applyFill="1" applyBorder="1" applyAlignment="1">
      <x:alignment vertical="top"/>
    </x:xf>
    <x:xf numFmtId="204" fontId="11"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5f1a02eaa06493a" /><Relationship Type="http://schemas.openxmlformats.org/officeDocument/2006/relationships/theme" Target="/xl/theme/theme1.xml" Id="R38876ba9df72462e" /><Relationship Type="http://schemas.microsoft.com/office/2022/11/relationships/FeaturePropertyBag" Target="/xl/featurePropertyBag/featurePropertyBag.xml" Id="R470a719bc39d47a0" /><Relationship Type="http://schemas.openxmlformats.org/officeDocument/2006/relationships/sharedStrings" Target="/xl/sharedStrings.xml" Id="R4dbbcd9e78d84840" /><Relationship Type="http://schemas.openxmlformats.org/officeDocument/2006/relationships/worksheet" Target="/xl/worksheets/sheet1.xml" Id="R5ac92023e7b8402a" /><Relationship Type="http://schemas.openxmlformats.org/officeDocument/2006/relationships/worksheet" Target="/xl/worksheets/sheet2.xml" Id="R9e0b0a95ff024360" /><Relationship Type="http://schemas.openxmlformats.org/officeDocument/2006/relationships/worksheet" Target="/xl/worksheets/sheet3.xml" Id="R232f2a6fcf5e4c45" /><Relationship Type="http://schemas.openxmlformats.org/officeDocument/2006/relationships/worksheet" Target="/xl/worksheets/sheet4.xml" Id="R5bed570c70b14e06" /><Relationship Type="http://schemas.openxmlformats.org/officeDocument/2006/relationships/worksheet" Target="/xl/worksheets/sheet5.xml" Id="R0f13595a73b44b1e" /><Relationship Type="http://schemas.openxmlformats.org/officeDocument/2006/relationships/worksheet" Target="/xl/worksheets/sheet6.xml" Id="R4956a203b79249cf" /><Relationship Type="http://schemas.openxmlformats.org/officeDocument/2006/relationships/worksheet" Target="/xl/worksheets/sheet7.xml" Id="R784c14e5afad4fe5" /><Relationship Type="http://schemas.openxmlformats.org/officeDocument/2006/relationships/worksheet" Target="/xl/worksheets/sheet8.xml" Id="R92bcb7a7a9d84a4c" /><Relationship Type="http://schemas.openxmlformats.org/officeDocument/2006/relationships/worksheet" Target="/xl/worksheets/sheet9.xml" Id="Re46971f5cb76403c" /><Relationship Type="http://schemas.openxmlformats.org/officeDocument/2006/relationships/worksheet" Target="/xl/worksheets/sheet10.xml" Id="R1008d6c561ad4825" /><Relationship Type="http://schemas.openxmlformats.org/officeDocument/2006/relationships/worksheet" Target="/xl/worksheets/sheet11.xml" Id="R5b1799a13da84214" /><Relationship Type="http://schemas.openxmlformats.org/officeDocument/2006/relationships/worksheet" Target="/xl/worksheets/sheet12.xml" Id="R62431bf89c8c4840" /><Relationship Type="http://schemas.openxmlformats.org/officeDocument/2006/relationships/worksheet" Target="/xl/worksheets/sheet13.xml" Id="Rd205eed25ecf45e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1" name="MasterTable" displayName="MasterTable" ref="A1:BQ62" headerRowCount="1" totalsRowCount="0" totalsRowShown="0">
  <x:tableColumns count="69">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dataset_version"/>
    <x:tableColumn id="42" name="dataset_version"/>
    <x:tableColumn id="43" name="dataset_version"/>
    <x:tableColumn id="44" name="dataset_version"/>
    <x:tableColumn id="45" name="dataset_version"/>
    <x:tableColumn id="46" name="dataset_version"/>
    <x:tableColumn id="47" name="dataset_version"/>
    <x:tableColumn id="48" name="dataset_version"/>
    <x:tableColumn id="49" name="dataset_version"/>
    <x:tableColumn id="50" name="dataset_version"/>
    <x:tableColumn id="51" name="dataset_version"/>
    <x:tableColumn id="52" name="dataset_version"/>
    <x:tableColumn id="53" name="dataset_version"/>
    <x:tableColumn id="54" name="dataset_version"/>
    <x:tableColumn id="55" name="dataset_version"/>
    <x:tableColumn id="56" name="dataset_version"/>
    <x:tableColumn id="57" name="dataset_version"/>
    <x:tableColumn id="58" name="dataset_version"/>
    <x:tableColumn id="59" name="dataset_version"/>
    <x:tableColumn id="60" name="dataset_version"/>
    <x:tableColumn id="61" name="dataset_version"/>
    <x:tableColumn id="62" name="dataset_version"/>
    <x:tableColumn id="63" name="dataset_version"/>
    <x:tableColumn id="64" name="dataset_version"/>
    <x:tableColumn id="65" name="dataset_version"/>
    <x:tableColumn id="66" name="dataset_version"/>
    <x:tableColumn id="67" name="dataset_version"/>
    <x:tableColumn id="68" name="dataset_version"/>
    <x:tableColumn id="69" name="dataset_version"/>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7" headerRowCount="1" totalsRowCount="0" totalsRowShown="0">
  <x:autoFilter ref="A1:AR217"/>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22" name="CandidateSitesTable" displayName="CandidateSitesTable" ref="A1:AW17" headerRowCount="1" totalsRowCount="0" totalsRowShown="0">
  <x:tableColumns count="49">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 id="21" name="phase1_feature_status"/>
    <x:tableColumn id="22" name="nearest_neighbor_km"/>
    <x:tableColumn id="23" name="cluster"/>
    <x:tableColumn id="24" name="dist_transmission_any_km"/>
    <x:tableColumn id="25" name="dist_transmission_100kv_km"/>
    <x:tableColumn id="26" name="dist_transmission_230kv_km"/>
    <x:tableColumn id="27" name="max_voltage_within_25km_kv"/>
    <x:tableColumn id="28" name="transmission_owner_count_25km"/>
    <x:tableColumn id="29" name="dist_major_road_km"/>
    <x:tableColumn id="30" name="dist_interstate_km"/>
    <x:tableColumn id="31" name="dist_surface_water_flowline_km"/>
    <x:tableColumn id="32" name="named_flowlines_within_25km"/>
    <x:tableColumn id="33" name="county_geoid"/>
    <x:tableColumn id="34" name="county_name"/>
    <x:tableColumn id="35" name="degree_institutions_50km"/>
    <x:tableColumn id="36" name="cip11_completions_50km"/>
    <x:tableColumn id="37" name="cip14_completions_50km"/>
    <x:tableColumn id="38" name="degree_institutions_100km"/>
    <x:tableColumn id="39" name="cip11_completions_100km"/>
    <x:tableColumn id="40" name="cip14_completions_100km"/>
    <x:tableColumn id="41" name="county_total_employment"/>
    <x:tableColumn id="42" name="county_total_establishments"/>
    <x:tableColumn id="43" name="county_total_employment_flag"/>
    <x:tableColumn id="44" name="information_sector_employment"/>
    <x:tableColumn id="45" name="information_sector_establishments"/>
    <x:tableColumn id="46" name="information_sector_employment_flag"/>
    <x:tableColumn id="47" name="professional_scientific_employment"/>
    <x:tableColumn id="48" name="professional_scientific_establishments"/>
    <x:tableColumn id="49" name="professional_scientific_employment_fla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e95a139c1903423d" /></Relationships>
</file>

<file path=xl/worksheets/_rels/sheet4.xml.rels>&#65279;<?xml version="1.0" encoding="utf-8"?><Relationships xmlns="http://schemas.openxmlformats.org/package/2006/relationships"><Relationship Type="http://schemas.openxmlformats.org/officeDocument/2006/relationships/table" Target="/xl/tables/table2.xml" Id="R8dc61433c7f54361" /></Relationships>
</file>

<file path=xl/worksheets/_rels/sheet5.xml.rels>&#65279;<?xml version="1.0" encoding="utf-8"?><Relationships xmlns="http://schemas.openxmlformats.org/package/2006/relationships"><Relationship Type="http://schemas.openxmlformats.org/officeDocument/2006/relationships/table" Target="/xl/tables/table3.xml" Id="R13159f9452744b72" /></Relationships>
</file>

<file path=xl/worksheets/_rels/sheet6.xml.rels>&#65279;<?xml version="1.0" encoding="utf-8"?><Relationships xmlns="http://schemas.openxmlformats.org/package/2006/relationships"><Relationship Type="http://schemas.openxmlformats.org/officeDocument/2006/relationships/table" Target="/xl/tables/table4.xml" Id="Rfd5a0bfeaa8e4763" /></Relationships>
</file>

<file path=xl/worksheets/_rels/sheet7.xml.rels>&#65279;<?xml version="1.0" encoding="utf-8"?><Relationships xmlns="http://schemas.openxmlformats.org/package/2006/relationships"><Relationship Type="http://schemas.openxmlformats.org/officeDocument/2006/relationships/table" Target="/xl/tables/table5.xml" Id="R7e4a0a7040164ae7" /></Relationships>
</file>

<file path=xl/worksheets/_rels/sheet8.xml.rels>&#65279;<?xml version="1.0" encoding="utf-8"?><Relationships xmlns="http://schemas.openxmlformats.org/package/2006/relationships"><Relationship Type="http://schemas.openxmlformats.org/officeDocument/2006/relationships/table" Target="/xl/tables/table6.xml" Id="R5364e476327c4262" /></Relationships>
</file>

<file path=xl/worksheets/_rels/sheet9.xml.rels>&#65279;<?xml version="1.0" encoding="utf-8"?><Relationships xmlns="http://schemas.openxmlformats.org/package/2006/relationships"><Relationship Type="http://schemas.openxmlformats.org/officeDocument/2006/relationships/table" Target="/xl/tables/table7.xml" Id="R666dc95281814e48"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2026-09-03</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216 total Raw_Aligned rows after fifth-pass candidate-location research.</x:v>
      </x:c>
      <x:c r="C8" s="71"/>
    </x:row>
    <x:row r="9">
      <x:c r="A9" s="63" t="str">
        <x:v>Master records</x:v>
      </x:c>
      <x:c r="B9" s="67" t="str">
        <x:v>61 deduplicated Master rows: 50 core data-center/interconnection entities plus 11 crypto-mining entities. Sixteen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2026-09-07 review-queue resolution: Cielo remains in Master only for source traceability with analysis_scope=unconfirmed_candidate and is excluded from confirmed spatial training; the Atmosphere market pin was removed; linked and address discrepancies are documented in Review_Queue and model/data/metadata/review_queue_research_ledger.csv.</x:v>
      </x:c>
      <x:c r="C22" s="85" t="str">
        <x:v>Uncertain status, scope, or identity stays in Candidate_Sites</x:v>
      </x:c>
      <x:c r="D22" s="85"/>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f>COUNTA(Raw_Aligned!B2:B1000)</x:f>
        <x:v>216</x:v>
      </x:c>
      <x:c r="C5" s="67" t="str">
        <x:v>All source records, including appended public verification rows.</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49</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1</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 min="42" max="42" width="21" hidden="0" customWidth="1"/>
    <x:col min="43" max="43" width="18" hidden="0" customWidth="1"/>
    <x:col min="44" max="44" width="26" hidden="0" customWidth="1"/>
    <x:col min="45" max="45" width="28" hidden="0" customWidth="1"/>
    <x:col min="46" max="46" width="28" hidden="0" customWidth="1"/>
    <x:col min="47" max="47" width="28" hidden="0" customWidth="1"/>
    <x:col min="48" max="48" width="31" hidden="0" customWidth="1"/>
    <x:col min="49" max="49" width="20" hidden="0" customWidth="1"/>
    <x:col min="50" max="50" width="20" hidden="0" customWidth="1"/>
    <x:col min="51" max="51" width="32" hidden="0" customWidth="1"/>
    <x:col min="52" max="52" width="29" hidden="0" customWidth="1"/>
    <x:col min="53" max="53" width="18" hidden="0" customWidth="1"/>
    <x:col min="54" max="54" width="18" hidden="0" customWidth="1"/>
    <x:col min="55" max="55" width="26" hidden="0" customWidth="1"/>
    <x:col min="56" max="56" width="24" hidden="0" customWidth="1"/>
    <x:col min="57" max="57" width="24" hidden="0" customWidth="1"/>
    <x:col min="58" max="58" width="27" hidden="0" customWidth="1"/>
    <x:col min="59" max="59" width="25" hidden="0" customWidth="1"/>
    <x:col min="60" max="60" width="25" hidden="0" customWidth="1"/>
    <x:col min="61" max="61" width="25" hidden="0" customWidth="1"/>
    <x:col min="62" max="62" width="29" hidden="0" customWidth="1"/>
    <x:col min="63" max="63" width="30" hidden="0" customWidth="1"/>
    <x:col min="64" max="64" width="31" hidden="0" customWidth="1"/>
    <x:col min="65" max="65" width="34" hidden="0" customWidth="1"/>
    <x:col min="66" max="66" width="34" hidden="0" customWidth="1"/>
    <x:col min="67" max="67" width="34" hidden="0" customWidth="1"/>
    <x:col min="68" max="68" width="34" hidden="0" customWidth="1"/>
    <x:col min="69" max="69" width="34" hidden="0" customWidth="1"/>
  </x:cols>
  <x:sheetData>
    <x:row r="1" ht="58"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phase1_feature_status</x:v>
      </x:c>
      <x:c r="AP1" s="211" t="str">
        <x:v>nearest_neighbor_km</x:v>
      </x:c>
      <x:c r="AQ1" s="85" t="str">
        <x:v>cluster</x:v>
      </x:c>
      <x:c r="AR1" s="211" t="str">
        <x:v>dist_transmission_any_km</x:v>
      </x:c>
      <x:c r="AS1" s="211" t="str">
        <x:v>dist_transmission_100kv_km</x:v>
      </x:c>
      <x:c r="AT1" s="211" t="str">
        <x:v>dist_transmission_230kv_km</x:v>
      </x:c>
      <x:c r="AU1" s="96" t="str">
        <x:v>max_voltage_within_25km_kv</x:v>
      </x:c>
      <x:c r="AV1" s="212" t="str">
        <x:v>transmission_owner_count_25km</x:v>
      </x:c>
      <x:c r="AW1" s="211" t="str">
        <x:v>dist_major_road_km</x:v>
      </x:c>
      <x:c r="AX1" s="211" t="str">
        <x:v>dist_interstate_km</x:v>
      </x:c>
      <x:c r="AY1" s="211" t="str">
        <x:v>dist_surface_water_flowline_km</x:v>
      </x:c>
      <x:c r="AZ1" s="85" t="str">
        <x:v>named_flowlines_within_25km</x:v>
      </x:c>
      <x:c r="BA1" s="212" t="str">
        <x:v>county_geoid</x:v>
      </x:c>
      <x:c r="BB1" s="212" t="str">
        <x:v>county_name</x:v>
      </x:c>
      <x:c r="BC1" s="85" t="str">
        <x:v>degree_institutions_50km</x:v>
      </x:c>
      <x:c r="BD1" s="212" t="str">
        <x:v>cip11_completions_50km</x:v>
      </x:c>
      <x:c r="BE1" s="212" t="str">
        <x:v>cip14_completions_50km</x:v>
      </x:c>
      <x:c r="BF1" s="85" t="str">
        <x:v>degree_institutions_100km</x:v>
      </x:c>
      <x:c r="BG1" s="212" t="str">
        <x:v>cip11_completions_100km</x:v>
      </x:c>
      <x:c r="BH1" s="212" t="str">
        <x:v>cip14_completions_100km</x:v>
      </x:c>
      <x:c r="BI1" s="212" t="str">
        <x:v>county_total_employment</x:v>
      </x:c>
      <x:c r="BJ1" s="212" t="str">
        <x:v>county_total_establishments</x:v>
      </x:c>
      <x:c r="BK1" s="212" t="str">
        <x:v>county_total_employment_flag</x:v>
      </x:c>
      <x:c r="BL1" s="212" t="str">
        <x:v>information_sector_employment</x:v>
      </x:c>
      <x:c r="BM1" s="212" t="str">
        <x:v>information_sector_establishments</x:v>
      </x:c>
      <x:c r="BN1" s="212" t="str">
        <x:v>information_sector_employment_flag</x:v>
      </x:c>
      <x:c r="BO1" s="212" t="str">
        <x:v>professional_scientific_employment</x:v>
      </x:c>
      <x:c r="BP1" s="212" t="str">
        <x:v>professional_scientific_establishments</x:v>
      </x:c>
      <x:c r="BQ1" s="212" t="str">
        <x:v>professional_scientific_employment_flag</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direct_site_features</x:v>
      </x:c>
      <x:c r="AP2" s="207" t="n">
        <x:v>3.2412571929598153</x:v>
      </x:c>
      <x:c r="AQ2" t="str">
        <x:v>C2 Nashville area</x:v>
      </x:c>
      <x:c r="AR2" s="207" t="n">
        <x:v>0.1651959221897847</x:v>
      </x:c>
      <x:c r="AS2" s="207" t="n">
        <x:v>0.1651959221897847</x:v>
      </x:c>
      <x:c r="AT2" s="207" t="n">
        <x:v>0.1651959221897847</x:v>
      </x:c>
      <x:c r="AU2" s="208" t="n">
        <x:v>500</x:v>
      </x:c>
      <x:c r="AV2" s="209" t="n">
        <x:v>1</x:v>
      </x:c>
      <x:c r="AW2" s="207" t="n">
        <x:v>0.2659630033542631</x:v>
      </x:c>
      <x:c r="AX2" s="207" t="n">
        <x:v>0.2659630033542631</x:v>
      </x:c>
      <x:c r="AY2" s="207" t="n">
        <x:v>0.6961163647055927</x:v>
      </x:c>
      <x:c r="AZ2" t="n">
        <x:v>1025</x:v>
      </x:c>
      <x:c r="BA2" s="209" t="str">
        <x:v>47187</x:v>
      </x:c>
      <x:c r="BB2" s="209" t="str">
        <x:v>Williamson County</x:v>
      </x:c>
      <x:c r="BC2" t="n">
        <x:v>36</x:v>
      </x:c>
      <x:c r="BD2" s="209" t="n">
        <x:v>847</x:v>
      </x:c>
      <x:c r="BE2" s="209" t="n">
        <x:v>519</x:v>
      </x:c>
      <x:c r="BF2" t="n">
        <x:v>53</x:v>
      </x:c>
      <x:c r="BG2" s="209" t="n">
        <x:v>1188</x:v>
      </x:c>
      <x:c r="BH2" s="209" t="n">
        <x:v>522</x:v>
      </x:c>
      <x:c r="BI2" s="209" t="n">
        <x:v>149544</x:v>
      </x:c>
      <x:c r="BJ2" s="209" t="n">
        <x:v>8707</x:v>
      </x:c>
      <x:c r="BK2" s="209" t="str">
        <x:v>G</x:v>
      </x:c>
      <x:c r="BL2" s="209" t="n">
        <x:v>4817</x:v>
      </x:c>
      <x:c r="BM2" s="209" t="n">
        <x:v>293</x:v>
      </x:c>
      <x:c r="BN2" s="209" t="str">
        <x:v>H</x:v>
      </x:c>
      <x:c r="BO2" s="209" t="n">
        <x:v>12710</x:v>
      </x:c>
      <x:c r="BP2" s="209" t="n">
        <x:v>1322</x:v>
      </x:c>
      <x:c r="BQ2" s="209" t="str">
        <x:v>G</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2026-09-07</x:v>
      </x:c>
      <x:c r="AG3" s="85" t="str">
        <x:v>confirmed</x:v>
      </x:c>
      <x:c r="AH3" s="85" t="str">
        <x:v>identified</x:v>
      </x:c>
      <x:c r="AI3" s="96" t="n">
        <x:v>3</x:v>
      </x:c>
      <x:c r="AJ3" s="86" t="b">
        <x:v>1</x:v>
      </x:c>
      <x:c r="AK3" s="96" t="n">
        <x:v>70</x:v>
      </x:c>
      <x:c r="AL3" s="85" t="str">
        <x:v>medium</x:v>
      </x:c>
      <x:c r="AM3" s="85" t="str">
        <x:v>CleanSpark SEC evidence maps Campbell Junction Property to 5784 Plateau Rd. The separate West Crossville property is 268 Sparta Hwy (TNDC-009); retain two facilities and do not merge.</x:v>
      </x:c>
      <x:c r="AN3" s="85" t="str">
        <x:v>1.1</x:v>
      </x:c>
      <x:c r="AO3" s="85" t="str">
        <x:v>direct_site_features</x:v>
      </x:c>
      <x:c r="AP3" s="207" t="n">
        <x:v>16.5903008348662</x:v>
      </x:c>
      <x:c r="AQ3" t="str">
        <x:v>Noise / isolated</x:v>
      </x:c>
      <x:c r="AR3" s="207" t="n">
        <x:v>2.396606264573128</x:v>
      </x:c>
      <x:c r="AS3" s="207" t="n">
        <x:v>2.396606264573128</x:v>
      </x:c>
      <x:c r="AT3" s="207" t="n">
        <x:v>2.396606264573128</x:v>
      </x:c>
      <x:c r="AU3" s="208" t="n">
        <x:v>500</x:v>
      </x:c>
      <x:c r="AV3" s="209" t="n">
        <x:v>1</x:v>
      </x:c>
      <x:c r="AW3" s="207" t="n">
        <x:v>0.0469503578292588</x:v>
      </x:c>
      <x:c r="AX3" s="207" t="n">
        <x:v>1.4075061718544764</x:v>
      </x:c>
      <x:c r="AY3" s="207" t="n">
        <x:v>0.0181632993983025</x:v>
      </x:c>
      <x:c r="AZ3" t="n">
        <x:v>851</x:v>
      </x:c>
      <x:c r="BA3" s="209" t="str">
        <x:v>47035</x:v>
      </x:c>
      <x:c r="BB3" s="209" t="str">
        <x:v>Cumberland County</x:v>
      </x:c>
      <x:c r="BC3" t="n">
        <x:v>6</x:v>
      </x:c>
      <x:c r="BD3" s="209" t="n">
        <x:v>147</x:v>
      </x:c>
      <x:c r="BE3" s="209" t="n">
        <x:v>339</x:v>
      </x:c>
      <x:c r="BF3" t="n">
        <x:v>21</x:v>
      </x:c>
      <x:c r="BG3" s="209" t="n">
        <x:v>326</x:v>
      </x:c>
      <x:c r="BH3" s="209" t="n">
        <x:v>349</x:v>
      </x:c>
      <x:c r="BI3" s="209" t="n">
        <x:v>16494</x:v>
      </x:c>
      <x:c r="BJ3" s="209" t="n">
        <x:v>1153</x:v>
      </x:c>
      <x:c r="BK3" s="209" t="str">
        <x:v>G</x:v>
      </x:c>
      <x:c r="BL3" s="209" t="n">
        <x:v>154</x:v>
      </x:c>
      <x:c r="BM3" s="209" t="n">
        <x:v>17</x:v>
      </x:c>
      <x:c r="BN3" s="209" t="str">
        <x:v>H</x:v>
      </x:c>
      <x:c r="BO3" s="209" t="n">
        <x:v>364</x:v>
      </x:c>
      <x:c r="BP3" s="209" t="n">
        <x:v>80</x:v>
      </x:c>
      <x:c r="BQ3" s="209" t="str">
        <x:v>G</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direct_site_features</x:v>
      </x:c>
      <x:c r="AP4" s="207" t="n">
        <x:v>0.7537456534095243</x:v>
      </x:c>
      <x:c r="AQ4" t="str">
        <x:v>C3 Chattanooga area</x:v>
      </x:c>
      <x:c r="AR4" s="207" t="n">
        <x:v>2.6067565059703095</x:v>
      </x:c>
      <x:c r="AS4" s="207" t="n">
        <x:v>2.6067565059703095</x:v>
      </x:c>
      <x:c r="AT4" s="207" t="n">
        <x:v>7.342171143213216</x:v>
      </x:c>
      <x:c r="AU4" s="208" t="n">
        <x:v>500</x:v>
      </x:c>
      <x:c r="AV4" s="209" t="n">
        <x:v>2</x:v>
      </x:c>
      <x:c r="AW4" s="207" t="n">
        <x:v>0.0742319652923255</x:v>
      </x:c>
      <x:c r="AX4" s="207" t="n">
        <x:v>0.8175356506839869</x:v>
      </x:c>
      <x:c r="AY4" s="207" t="n">
        <x:v>1.0531543701566626</x:v>
      </x:c>
      <x:c r="AZ4" t="n">
        <x:v>1150</x:v>
      </x:c>
      <x:c r="BA4" s="209" t="str">
        <x:v>47065</x:v>
      </x:c>
      <x:c r="BB4" s="209" t="str">
        <x:v>Hamilton County</x:v>
      </x:c>
      <x:c r="BC4" t="n">
        <x:v>14</x:v>
      </x:c>
      <x:c r="BD4" s="209" t="n">
        <x:v>313</x:v>
      </x:c>
      <x:c r="BE4" s="209" t="n">
        <x:v>152</x:v>
      </x:c>
      <x:c r="BF4" t="n">
        <x:v>28</x:v>
      </x:c>
      <x:c r="BG4" s="209" t="n">
        <x:v>535</x:v>
      </x:c>
      <x:c r="BH4" s="209" t="n">
        <x:v>162</x:v>
      </x:c>
      <x:c r="BI4" s="209" t="n">
        <x:v>205761</x:v>
      </x:c>
      <x:c r="BJ4" s="209" t="n">
        <x:v>9883</x:v>
      </x:c>
      <x:c r="BK4" s="209" t="str">
        <x:v>G</x:v>
      </x:c>
      <x:c r="BL4" s="209" t="n">
        <x:v>3565</x:v>
      </x:c>
      <x:c r="BM4" s="209" t="n">
        <x:v>174</x:v>
      </x:c>
      <x:c r="BN4" s="209" t="str">
        <x:v>G</x:v>
      </x:c>
      <x:c r="BO4" s="209" t="n">
        <x:v>10146</x:v>
      </x:c>
      <x:c r="BP4" s="209" t="n">
        <x:v>937</x:v>
      </x:c>
      <x:c r="BQ4" s="209" t="str">
        <x:v>G</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direct_site_features</x:v>
      </x:c>
      <x:c r="AP5" s="207" t="n">
        <x:v>0.4108468813552908</x:v>
      </x:c>
      <x:c r="AQ5" t="str">
        <x:v>C3 Chattanooga area</x:v>
      </x:c>
      <x:c r="AR5" s="207" t="n">
        <x:v>2.40924676682399</x:v>
      </x:c>
      <x:c r="AS5" s="207" t="n">
        <x:v>2.40924676682399</x:v>
      </x:c>
      <x:c r="AT5" s="207" t="n">
        <x:v>6.044236499979038</x:v>
      </x:c>
      <x:c r="AU5" s="208" t="n">
        <x:v>500</x:v>
      </x:c>
      <x:c r="AV5" s="209" t="n">
        <x:v>2</x:v>
      </x:c>
      <x:c r="AW5" s="207" t="n">
        <x:v>0.1349667724668807</x:v>
      </x:c>
      <x:c r="AX5" s="207" t="n">
        <x:v>2.135441369400803</x:v>
      </x:c>
      <x:c r="AY5" s="207" t="n">
        <x:v>0.95167681158497</x:v>
      </x:c>
      <x:c r="AZ5" t="n">
        <x:v>1143</x:v>
      </x:c>
      <x:c r="BA5" s="209" t="str">
        <x:v>47065</x:v>
      </x:c>
      <x:c r="BB5" s="209" t="str">
        <x:v>Hamilton County</x:v>
      </x:c>
      <x:c r="BC5" t="n">
        <x:v>14</x:v>
      </x:c>
      <x:c r="BD5" s="209" t="n">
        <x:v>313</x:v>
      </x:c>
      <x:c r="BE5" s="209" t="n">
        <x:v>152</x:v>
      </x:c>
      <x:c r="BF5" t="n">
        <x:v>28</x:v>
      </x:c>
      <x:c r="BG5" s="209" t="n">
        <x:v>535</x:v>
      </x:c>
      <x:c r="BH5" s="209" t="n">
        <x:v>162</x:v>
      </x:c>
      <x:c r="BI5" s="209" t="n">
        <x:v>205761</x:v>
      </x:c>
      <x:c r="BJ5" s="209" t="n">
        <x:v>9883</x:v>
      </x:c>
      <x:c r="BK5" s="209" t="str">
        <x:v>G</x:v>
      </x:c>
      <x:c r="BL5" s="209" t="n">
        <x:v>3565</x:v>
      </x:c>
      <x:c r="BM5" s="209" t="n">
        <x:v>174</x:v>
      </x:c>
      <x:c r="BN5" s="209" t="str">
        <x:v>G</x:v>
      </x:c>
      <x:c r="BO5" s="209" t="n">
        <x:v>10146</x:v>
      </x:c>
      <x:c r="BP5" s="209" t="n">
        <x:v>937</x:v>
      </x:c>
      <x:c r="BQ5" s="209" t="str">
        <x:v>G</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direct_site_features</x:v>
      </x:c>
      <x:c r="AP6" s="207" t="n">
        <x:v>0.7537456534095243</x:v>
      </x:c>
      <x:c r="AQ6" t="str">
        <x:v>C3 Chattanooga area</x:v>
      </x:c>
      <x:c r="AR6" s="207" t="n">
        <x:v>2.481827490296379</x:v>
      </x:c>
      <x:c r="AS6" s="207" t="n">
        <x:v>2.481827490296379</x:v>
      </x:c>
      <x:c r="AT6" s="207" t="n">
        <x:v>7.546223544674594</x:v>
      </x:c>
      <x:c r="AU6" s="208" t="n">
        <x:v>500</x:v>
      </x:c>
      <x:c r="AV6" s="209" t="n">
        <x:v>2</x:v>
      </x:c>
      <x:c r="AW6" s="207" t="n">
        <x:v>0.2765433748031277</x:v>
      </x:c>
      <x:c r="AX6" s="207" t="n">
        <x:v>1.5657424262598074</x:v>
      </x:c>
      <x:c r="AY6" s="207" t="n">
        <x:v>1.7716781310704195</x:v>
      </x:c>
      <x:c r="AZ6" t="n">
        <x:v>1158</x:v>
      </x:c>
      <x:c r="BA6" s="209" t="str">
        <x:v>47065</x:v>
      </x:c>
      <x:c r="BB6" s="209" t="str">
        <x:v>Hamilton County</x:v>
      </x:c>
      <x:c r="BC6" t="n">
        <x:v>14</x:v>
      </x:c>
      <x:c r="BD6" s="209" t="n">
        <x:v>313</x:v>
      </x:c>
      <x:c r="BE6" s="209" t="n">
        <x:v>152</x:v>
      </x:c>
      <x:c r="BF6" t="n">
        <x:v>28</x:v>
      </x:c>
      <x:c r="BG6" s="209" t="n">
        <x:v>535</x:v>
      </x:c>
      <x:c r="BH6" s="209" t="n">
        <x:v>162</x:v>
      </x:c>
      <x:c r="BI6" s="209" t="n">
        <x:v>205761</x:v>
      </x:c>
      <x:c r="BJ6" s="209" t="n">
        <x:v>9883</x:v>
      </x:c>
      <x:c r="BK6" s="209" t="str">
        <x:v>G</x:v>
      </x:c>
      <x:c r="BL6" s="209" t="n">
        <x:v>3565</x:v>
      </x:c>
      <x:c r="BM6" s="209" t="n">
        <x:v>174</x:v>
      </x:c>
      <x:c r="BN6" s="209" t="str">
        <x:v>G</x:v>
      </x:c>
      <x:c r="BO6" s="209" t="n">
        <x:v>10146</x:v>
      </x:c>
      <x:c r="BP6" s="209" t="n">
        <x:v>937</x:v>
      </x:c>
      <x:c r="BQ6" s="209" t="str">
        <x:v>G</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unconfirmed_candidate</x:v>
      </x:c>
      <x:c r="W7" s="91" t="n">
        <x:v>350</x:v>
      </x:c>
      <x:c r="X7" s="91"/>
      <x:c r="Y7" s="91" t="n">
        <x:v>107</x:v>
      </x:c>
      <x:c r="Z7" s="35"/>
      <x:c r="AA7" s="17" t="str">
        <x:v>compute_atlas | fractracker | server_country | datacenterwatch | fractracker_arcgis | servercountry.org | datacenterwatch.ai | services1.arcgis.com | clarksvillenow</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 | https://clarksvillenow.com/local/council-discusses-data-center-concerns-but-no-proposal-is-on-the-table/</x:v>
      </x:c>
      <x:c r="AF7" s="128" t="str">
        <x:v>2026-09-07</x:v>
      </x:c>
      <x:c r="AG7" s="85" t="str">
        <x:v>candidate</x:v>
      </x:c>
      <x:c r="AH7" s="85" t="str">
        <x:v>reported_sponsor_unverified</x:v>
      </x:c>
      <x:c r="AI7" s="96" t="n">
        <x:v>7</x:v>
      </x:c>
      <x:c r="AJ7" s="86" t="b">
        <x:v>1</x:v>
      </x:c>
      <x:c r="AK7" s="96" t="n">
        <x:v>55</x:v>
      </x:c>
      <x:c r="AL7" s="85" t="str">
        <x:v>low</x:v>
      </x:c>
      <x:c r="AM7" s="85" t="str">
        <x:v>Public market directories list a planned 350 MW Clarksville project, while June 2026 local reporting said the planning commission had no proposal under discussion. No primary local filing was identified. Retained for source traceability only as an unconfirmed candidate and excluded from confirmed-presence spatial training.</x:v>
      </x:c>
      <x:c r="AN7" s="85" t="str">
        <x:v>1.1</x:v>
      </x:c>
      <x:c r="AO7" s="85" t="str">
        <x:v>city_representative_features</x:v>
      </x:c>
      <x:c r="AP7" s="207" t="n">
        <x:v>13.34786983412424</x:v>
      </x:c>
      <x:c r="AQ7" t="str">
        <x:v>Excluded / not clustered</x:v>
      </x:c>
      <x:c r="AR7" s="207" t="n">
        <x:v>2.1435460189939812</x:v>
      </x:c>
      <x:c r="AS7" s="207" t="n">
        <x:v>2.1435460189939812</x:v>
      </x:c>
      <x:c r="AT7" s="207" t="n">
        <x:v>11.261366122590772</x:v>
      </x:c>
      <x:c r="AU7" s="208" t="n">
        <x:v>500</x:v>
      </x:c>
      <x:c r="AV7" s="209" t="n">
        <x:v>1</x:v>
      </x:c>
      <x:c r="AW7" s="207" t="n">
        <x:v>0.0060403520815811</x:v>
      </x:c>
      <x:c r="AX7" s="207" t="n">
        <x:v>9.953355261375314</x:v>
      </x:c>
      <x:c r="AY7" s="207" t="n">
        <x:v>0.5019963529216311</x:v>
      </x:c>
      <x:c r="AZ7" t="n">
        <x:v>683</x:v>
      </x:c>
      <x:c r="BA7" s="209" t="str">
        <x:v>47125</x:v>
      </x:c>
      <x:c r="BB7" s="209" t="str">
        <x:v>Montgomery County</x:v>
      </x:c>
      <x:c r="BC7" t="n">
        <x:v>6</x:v>
      </x:c>
      <x:c r="BD7" s="209" t="n">
        <x:v>205</x:v>
      </x:c>
      <x:c r="BE7" s="209" t="n">
        <x:v>3</x:v>
      </x:c>
      <x:c r="BF7" t="n">
        <x:v>49</x:v>
      </x:c>
      <x:c r="BG7" s="209" t="n">
        <x:v>1611</x:v>
      </x:c>
      <x:c r="BH7" s="209" t="n">
        <x:v>596</x:v>
      </x:c>
      <x:c r="BI7" s="209" t="n">
        <x:v>53777</x:v>
      </x:c>
      <x:c r="BJ7" s="209" t="n">
        <x:v>3428</x:v>
      </x:c>
      <x:c r="BK7" s="209" t="str">
        <x:v>G</x:v>
      </x:c>
      <x:c r="BL7" s="209" t="n">
        <x:v>441</x:v>
      </x:c>
      <x:c r="BM7" s="209" t="n">
        <x:v>41</x:v>
      </x:c>
      <x:c r="BN7" s="209" t="str">
        <x:v>G</x:v>
      </x:c>
      <x:c r="BO7" s="209" t="n">
        <x:v>1647</x:v>
      </x:c>
      <x:c r="BP7" s="209" t="n">
        <x:v>204</x:v>
      </x:c>
      <x:c r="BQ7" s="209" t="str">
        <x:v>G</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direct_site_features</x:v>
      </x:c>
      <x:c r="AP8" s="207" t="n">
        <x:v>13.34786983412424</x:v>
      </x:c>
      <x:c r="AQ8" t="str">
        <x:v>Noise / isolated</x:v>
      </x:c>
      <x:c r="AR8" s="207" t="n">
        <x:v>0.3528111168096206</x:v>
      </x:c>
      <x:c r="AS8" s="207" t="n">
        <x:v>0.3528111168096206</x:v>
      </x:c>
      <x:c r="AT8" s="207" t="n">
        <x:v>1.02987984886077</x:v>
      </x:c>
      <x:c r="AU8" s="208" t="n">
        <x:v>500</x:v>
      </x:c>
      <x:c r="AV8" s="209" t="n">
        <x:v>1</x:v>
      </x:c>
      <x:c r="AW8" s="207" t="n">
        <x:v>0.8444641826026208</x:v>
      </x:c>
      <x:c r="AX8" s="207" t="n">
        <x:v>2.803918570052872</x:v>
      </x:c>
      <x:c r="AY8" s="207" t="n">
        <x:v>0.585738817548979</x:v>
      </x:c>
      <x:c r="AZ8" t="n">
        <x:v>450</x:v>
      </x:c>
      <x:c r="BA8" s="209" t="str">
        <x:v>47125</x:v>
      </x:c>
      <x:c r="BB8" s="209" t="str">
        <x:v>Montgomery County</x:v>
      </x:c>
      <x:c r="BC8" t="n">
        <x:v>6</x:v>
      </x:c>
      <x:c r="BD8" s="209" t="n">
        <x:v>205</x:v>
      </x:c>
      <x:c r="BE8" s="209" t="n">
        <x:v>3</x:v>
      </x:c>
      <x:c r="BF8" t="n">
        <x:v>50</x:v>
      </x:c>
      <x:c r="BG8" s="209" t="n">
        <x:v>1617</x:v>
      </x:c>
      <x:c r="BH8" s="209" t="n">
        <x:v>596</x:v>
      </x:c>
      <x:c r="BI8" s="209" t="n">
        <x:v>53777</x:v>
      </x:c>
      <x:c r="BJ8" s="209" t="n">
        <x:v>3428</x:v>
      </x:c>
      <x:c r="BK8" s="209" t="str">
        <x:v>G</x:v>
      </x:c>
      <x:c r="BL8" s="209" t="n">
        <x:v>441</x:v>
      </x:c>
      <x:c r="BM8" s="209" t="n">
        <x:v>41</x:v>
      </x:c>
      <x:c r="BN8" s="209" t="str">
        <x:v>G</x:v>
      </x:c>
      <x:c r="BO8" s="209" t="n">
        <x:v>1647</x:v>
      </x:c>
      <x:c r="BP8" s="209" t="n">
        <x:v>204</x:v>
      </x:c>
      <x:c r="BQ8" s="209" t="str">
        <x:v>G</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direct_site_features</x:v>
      </x:c>
      <x:c r="AP9" s="207" t="n">
        <x:v>11.311970674520817</x:v>
      </x:c>
      <x:c r="AQ9" t="str">
        <x:v>C1 Memphis area</x:v>
      </x:c>
      <x:c r="AR9" s="207" t="n">
        <x:v>2.0522271452302165</x:v>
      </x:c>
      <x:c r="AS9" s="207" t="n">
        <x:v>2.0522271452302165</x:v>
      </x:c>
      <x:c r="AT9" s="207" t="n">
        <x:v>9.978601417977911</x:v>
      </x:c>
      <x:c r="AU9" s="208" t="n">
        <x:v>500</x:v>
      </x:c>
      <x:c r="AV9" s="209" t="n">
        <x:v>1</x:v>
      </x:c>
      <x:c r="AW9" s="207" t="n">
        <x:v>0.3713223977361833</x:v>
      </x:c>
      <x:c r="AX9" s="207" t="n">
        <x:v>19.534397163993575</x:v>
      </x:c>
      <x:c r="AY9" s="207" t="n">
        <x:v>0.6770377186021165</x:v>
      </x:c>
      <x:c r="AZ9" t="n">
        <x:v>1353</x:v>
      </x:c>
      <x:c r="BA9" s="209" t="str">
        <x:v>47157</x:v>
      </x:c>
      <x:c r="BB9" s="209" t="str">
        <x:v>Shelby County</x:v>
      </x:c>
      <x:c r="BC9" t="n">
        <x:v>27</x:v>
      </x:c>
      <x:c r="BD9" s="209" t="n">
        <x:v>950</x:v>
      </x:c>
      <x:c r="BE9" s="209" t="n">
        <x:v>286</x:v>
      </x:c>
      <x:c r="BF9" t="n">
        <x:v>35</x:v>
      </x:c>
      <x:c r="BG9" s="209" t="n">
        <x:v>1218</x:v>
      </x:c>
      <x:c r="BH9" s="209" t="n">
        <x:v>481</x:v>
      </x:c>
      <x:c r="BI9" s="209" t="n">
        <x:v>446048</x:v>
      </x:c>
      <x:c r="BJ9" s="209" t="n">
        <x:v>19359</x:v>
      </x:c>
      <x:c r="BK9" s="209" t="str">
        <x:v>G</x:v>
      </x:c>
      <x:c r="BL9" s="209" t="n">
        <x:v>4823</x:v>
      </x:c>
      <x:c r="BM9" s="209" t="n">
        <x:v>318</x:v>
      </x:c>
      <x:c r="BN9" s="209" t="str">
        <x:v>G</x:v>
      </x:c>
      <x:c r="BO9" s="209" t="n">
        <x:v>20108</x:v>
      </x:c>
      <x:c r="BP9" s="209" t="n">
        <x:v>1599</x:v>
      </x:c>
      <x:c r="BQ9" s="209" t="str">
        <x:v>G</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2026-09-07</x:v>
      </x:c>
      <x:c r="AG10" s="85" t="str">
        <x:v>confirmed</x:v>
      </x:c>
      <x:c r="AH10" s="85" t="str">
        <x:v>identified</x:v>
      </x:c>
      <x:c r="AI10" s="96" t="n">
        <x:v>3</x:v>
      </x:c>
      <x:c r="AJ10" s="86" t="b">
        <x:v>1</x:v>
      </x:c>
      <x:c r="AK10" s="96" t="n">
        <x:v>70</x:v>
      </x:c>
      <x:c r="AL10" s="85" t="str">
        <x:v>medium</x:v>
      </x:c>
      <x:c r="AM10" s="85" t="str">
        <x:v>CleanSpark SEC evidence maps West Crossville Property to 268 Sparta Hwy. The separate Campbell Junction property is 5784 Plateau Rd (TNDC-002); retain two facilities and do not merge.</x:v>
      </x:c>
      <x:c r="AN10" s="85" t="str">
        <x:v>1.1</x:v>
      </x:c>
      <x:c r="AO10" s="85" t="str">
        <x:v>direct_site_features</x:v>
      </x:c>
      <x:c r="AP10" s="207" t="n">
        <x:v>16.5903008348662</x:v>
      </x:c>
      <x:c r="AQ10" t="str">
        <x:v>Noise / isolated</x:v>
      </x:c>
      <x:c r="AR10" s="207" t="n">
        <x:v>1.991610443751144</x:v>
      </x:c>
      <x:c r="AS10" s="207" t="n">
        <x:v>2.4886131922255355</x:v>
      </x:c>
      <x:c r="AT10" s="207" t="n">
        <x:v>5.785272400934065</x:v>
      </x:c>
      <x:c r="AU10" s="208" t="n">
        <x:v>500</x:v>
      </x:c>
      <x:c r="AV10" s="209" t="n">
        <x:v>1</x:v>
      </x:c>
      <x:c r="AW10" s="207" t="n">
        <x:v>0.0151785025615956</x:v>
      </x:c>
      <x:c r="AX10" s="207" t="n">
        <x:v>3.666392601986651</x:v>
      </x:c>
      <x:c r="AY10" s="207" t="n">
        <x:v>0.289985419117226</x:v>
      </x:c>
      <x:c r="AZ10" t="n">
        <x:v>1010</x:v>
      </x:c>
      <x:c r="BA10" s="209" t="str">
        <x:v>47035</x:v>
      </x:c>
      <x:c r="BB10" s="209" t="str">
        <x:v>Cumberland County</x:v>
      </x:c>
      <x:c r="BC10" t="n">
        <x:v>7</x:v>
      </x:c>
      <x:c r="BD10" s="209" t="n">
        <x:v>165</x:v>
      </x:c>
      <x:c r="BE10" s="209" t="n">
        <x:v>339</x:v>
      </x:c>
      <x:c r="BF10" t="n">
        <x:v>31</x:v>
      </x:c>
      <x:c r="BG10" s="209" t="n">
        <x:v>629</x:v>
      </x:c>
      <x:c r="BH10" s="209" t="n">
        <x:v>1330</x:v>
      </x:c>
      <x:c r="BI10" s="209" t="n">
        <x:v>16494</x:v>
      </x:c>
      <x:c r="BJ10" s="209" t="n">
        <x:v>1153</x:v>
      </x:c>
      <x:c r="BK10" s="209" t="str">
        <x:v>G</x:v>
      </x:c>
      <x:c r="BL10" s="209" t="n">
        <x:v>154</x:v>
      </x:c>
      <x:c r="BM10" s="209" t="n">
        <x:v>17</x:v>
      </x:c>
      <x:c r="BN10" s="209" t="str">
        <x:v>H</x:v>
      </x:c>
      <x:c r="BO10" s="209" t="n">
        <x:v>364</x:v>
      </x:c>
      <x:c r="BP10" s="209" t="n">
        <x:v>80</x:v>
      </x:c>
      <x:c r="BQ10" s="209" t="str">
        <x:v>G</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direct_site_features</x:v>
      </x:c>
      <x:c r="AP11" s="207" t="n">
        <x:v>52.76647745819776</x:v>
      </x:c>
      <x:c r="AQ11" t="str">
        <x:v>Noise / isolated</x:v>
      </x:c>
      <x:c r="AR11" s="207" t="n">
        <x:v>1.2587975694286953</x:v>
      </x:c>
      <x:c r="AS11" s="207" t="n">
        <x:v>1.2587975694286953</x:v>
      </x:c>
      <x:c r="AT11" s="207" t="n">
        <x:v>1.8509732506021557</x:v>
      </x:c>
      <x:c r="AU11" s="208" t="n">
        <x:v>500</x:v>
      </x:c>
      <x:c r="AV11" s="209" t="n">
        <x:v>1</x:v>
      </x:c>
      <x:c r="AW11" s="207" t="n">
        <x:v>0.0045748522133634</x:v>
      </x:c>
      <x:c r="AX11" s="207" t="n">
        <x:v>13.37638277901819</x:v>
      </x:c>
      <x:c r="AY11" s="207" t="n">
        <x:v>0.2170490894246995</x:v>
      </x:c>
      <x:c r="AZ11" t="n">
        <x:v>1180</x:v>
      </x:c>
      <x:c r="BA11" s="209" t="str">
        <x:v>47121</x:v>
      </x:c>
      <x:c r="BB11" s="209" t="str">
        <x:v>Meigs County</x:v>
      </x:c>
      <x:c r="BC11" t="n">
        <x:v>10</x:v>
      </x:c>
      <x:c r="BD11" s="209" t="n">
        <x:v>57</x:v>
      </x:c>
      <x:c r="BE11" s="209" t="n">
        <x:v>10</x:v>
      </x:c>
      <x:c r="BF11" t="n">
        <x:v>37</x:v>
      </x:c>
      <x:c r="BG11" s="209" t="n">
        <x:v>872</x:v>
      </x:c>
      <x:c r="BH11" s="209" t="n">
        <x:v>1469</x:v>
      </x:c>
      <x:c r="BI11" s="209" t="n">
        <x:v>1839</x:v>
      </x:c>
      <x:c r="BJ11" s="209" t="n">
        <x:v>109</x:v>
      </x:c>
      <x:c r="BK11" s="209" t="str">
        <x:v>H</x:v>
      </x:c>
      <x:c r="BL11" s="209" t="n">
        <x:v>0</x:v>
      </x:c>
      <x:c r="BM11" s="209" t="n">
        <x:v>0</x:v>
      </x:c>
      <x:c r="BN11" s="209" t="str">
        <x:v>NO_PUBLISHED_ROW</x:v>
      </x:c>
      <x:c r="BO11" s="209" t="n">
        <x:v>0</x:v>
      </x:c>
      <x:c r="BP11" s="209" t="n">
        <x:v>0</x:v>
      </x:c>
      <x:c r="BQ11" s="209" t="str">
        <x:v>NO_PUBLISHED_ROW</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direct_site_features</x:v>
      </x:c>
      <x:c r="AP12" s="207" t="n">
        <x:v>3.2412571929598153</x:v>
      </x:c>
      <x:c r="AQ12" t="str">
        <x:v>C2 Nashville area</x:v>
      </x:c>
      <x:c r="AR12" s="207" t="n">
        <x:v>1.1489252392323943</x:v>
      </x:c>
      <x:c r="AS12" s="207" t="n">
        <x:v>1.1489252392323943</x:v>
      </x:c>
      <x:c r="AT12" s="207" t="n">
        <x:v>3.211250079234238</x:v>
      </x:c>
      <x:c r="AU12" s="208" t="n">
        <x:v>500</x:v>
      </x:c>
      <x:c r="AV12" s="209" t="n">
        <x:v>1</x:v>
      </x:c>
      <x:c r="AW12" s="207" t="n">
        <x:v>1.2128289754225414</x:v>
      </x:c>
      <x:c r="AX12" s="207" t="n">
        <x:v>1.7489654321643044</x:v>
      </x:c>
      <x:c r="AY12" s="207" t="n">
        <x:v>0.2093664616764297</x:v>
      </x:c>
      <x:c r="AZ12" t="n">
        <x:v>1034</x:v>
      </x:c>
      <x:c r="BA12" s="209" t="str">
        <x:v>47187</x:v>
      </x:c>
      <x:c r="BB12" s="209" t="str">
        <x:v>Williamson County</x:v>
      </x:c>
      <x:c r="BC12" t="n">
        <x:v>36</x:v>
      </x:c>
      <x:c r="BD12" s="209" t="n">
        <x:v>859</x:v>
      </x:c>
      <x:c r="BE12" s="209" t="n">
        <x:v>519</x:v>
      </x:c>
      <x:c r="BF12" t="n">
        <x:v>53</x:v>
      </x:c>
      <x:c r="BG12" s="209" t="n">
        <x:v>1188</x:v>
      </x:c>
      <x:c r="BH12" s="209" t="n">
        <x:v>522</x:v>
      </x:c>
      <x:c r="BI12" s="209" t="n">
        <x:v>149544</x:v>
      </x:c>
      <x:c r="BJ12" s="209" t="n">
        <x:v>8707</x:v>
      </x:c>
      <x:c r="BK12" s="209" t="str">
        <x:v>G</x:v>
      </x:c>
      <x:c r="BL12" s="209" t="n">
        <x:v>4817</x:v>
      </x:c>
      <x:c r="BM12" s="209" t="n">
        <x:v>293</x:v>
      </x:c>
      <x:c r="BN12" s="209" t="str">
        <x:v>H</x:v>
      </x:c>
      <x:c r="BO12" s="209" t="n">
        <x:v>12710</x:v>
      </x:c>
      <x:c r="BP12" s="209" t="n">
        <x:v>1322</x:v>
      </x:c>
      <x:c r="BQ12" s="209" t="str">
        <x:v>G</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direct_site_features</x:v>
      </x:c>
      <x:c r="AP13" s="207" t="n">
        <x:v>3.65144110529003</x:v>
      </x:c>
      <x:c r="AQ13" t="str">
        <x:v>C2 Nashville area</x:v>
      </x:c>
      <x:c r="AR13" s="207" t="n">
        <x:v>0.1564264696118872</x:v>
      </x:c>
      <x:c r="AS13" s="207" t="n">
        <x:v>0.1564264696118872</x:v>
      </x:c>
      <x:c r="AT13" s="207" t="n">
        <x:v>5.722274609053078</x:v>
      </x:c>
      <x:c r="AU13" s="208" t="n">
        <x:v>500</x:v>
      </x:c>
      <x:c r="AV13" s="209" t="n">
        <x:v>1</x:v>
      </x:c>
      <x:c r="AW13" s="207" t="n">
        <x:v>0.6342379741208156</x:v>
      </x:c>
      <x:c r="AX13" s="207" t="n">
        <x:v>0.6342379741208156</x:v>
      </x:c>
      <x:c r="AY13" s="207" t="n">
        <x:v>0.1821857162638619</x:v>
      </x:c>
      <x:c r="AZ13" t="n">
        <x:v>1030</x:v>
      </x:c>
      <x:c r="BA13" s="209" t="str">
        <x:v>47187</x:v>
      </x:c>
      <x:c r="BB13" s="209" t="str">
        <x:v>Williamson County</x:v>
      </x:c>
      <x:c r="BC13" t="n">
        <x:v>35</x:v>
      </x:c>
      <x:c r="BD13" s="209" t="n">
        <x:v>847</x:v>
      </x:c>
      <x:c r="BE13" s="209" t="n">
        <x:v>519</x:v>
      </x:c>
      <x:c r="BF13" t="n">
        <x:v>54</x:v>
      </x:c>
      <x:c r="BG13" s="209" t="n">
        <x:v>1202</x:v>
      </x:c>
      <x:c r="BH13" s="209" t="n">
        <x:v>522</x:v>
      </x:c>
      <x:c r="BI13" s="209" t="n">
        <x:v>149544</x:v>
      </x:c>
      <x:c r="BJ13" s="209" t="n">
        <x:v>8707</x:v>
      </x:c>
      <x:c r="BK13" s="209" t="str">
        <x:v>G</x:v>
      </x:c>
      <x:c r="BL13" s="209" t="n">
        <x:v>4817</x:v>
      </x:c>
      <x:c r="BM13" s="209" t="n">
        <x:v>293</x:v>
      </x:c>
      <x:c r="BN13" s="209" t="str">
        <x:v>H</x:v>
      </x:c>
      <x:c r="BO13" s="209" t="n">
        <x:v>12710</x:v>
      </x:c>
      <x:c r="BP13" s="209" t="n">
        <x:v>1322</x:v>
      </x:c>
      <x:c r="BQ13" s="209" t="str">
        <x:v>G</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direct_site_features</x:v>
      </x:c>
      <x:c r="AP14" s="207" t="n">
        <x:v>3.580764672121382</x:v>
      </x:c>
      <x:c r="AQ14" t="str">
        <x:v>C2 Nashville area</x:v>
      </x:c>
      <x:c r="AR14" s="207" t="n">
        <x:v>0.1963708261707566</x:v>
      </x:c>
      <x:c r="AS14" s="207" t="n">
        <x:v>0.1963708261707566</x:v>
      </x:c>
      <x:c r="AT14" s="207" t="n">
        <x:v>6.691251651484206</x:v>
      </x:c>
      <x:c r="AU14" s="208" t="n">
        <x:v>500</x:v>
      </x:c>
      <x:c r="AV14" s="209" t="n">
        <x:v>1</x:v>
      </x:c>
      <x:c r="AW14" s="207" t="n">
        <x:v>0.5817709748863257</x:v>
      </x:c>
      <x:c r="AX14" s="207" t="n">
        <x:v>2.973406278764428</x:v>
      </x:c>
      <x:c r="AY14" s="207" t="n">
        <x:v>0.397530656515906</x:v>
      </x:c>
      <x:c r="AZ14" t="n">
        <x:v>1066</x:v>
      </x:c>
      <x:c r="BA14" s="209" t="str">
        <x:v>47187</x:v>
      </x:c>
      <x:c r="BB14" s="209" t="str">
        <x:v>Williamson County</x:v>
      </x:c>
      <x:c r="BC14" t="n">
        <x:v>36</x:v>
      </x:c>
      <x:c r="BD14" s="209" t="n">
        <x:v>859</x:v>
      </x:c>
      <x:c r="BE14" s="209" t="n">
        <x:v>519</x:v>
      </x:c>
      <x:c r="BF14" t="n">
        <x:v>53</x:v>
      </x:c>
      <x:c r="BG14" s="209" t="n">
        <x:v>1188</x:v>
      </x:c>
      <x:c r="BH14" s="209" t="n">
        <x:v>522</x:v>
      </x:c>
      <x:c r="BI14" s="209" t="n">
        <x:v>149544</x:v>
      </x:c>
      <x:c r="BJ14" s="209" t="n">
        <x:v>8707</x:v>
      </x:c>
      <x:c r="BK14" s="209" t="str">
        <x:v>G</x:v>
      </x:c>
      <x:c r="BL14" s="209" t="n">
        <x:v>4817</x:v>
      </x:c>
      <x:c r="BM14" s="209" t="n">
        <x:v>293</x:v>
      </x:c>
      <x:c r="BN14" s="209" t="str">
        <x:v>H</x:v>
      </x:c>
      <x:c r="BO14" s="209" t="n">
        <x:v>12710</x:v>
      </x:c>
      <x:c r="BP14" s="209" t="n">
        <x:v>1322</x:v>
      </x:c>
      <x:c r="BQ14" s="209" t="str">
        <x:v>G</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direct_site_features</x:v>
      </x:c>
      <x:c r="AP15" s="207" t="n">
        <x:v>2.3980314314913542</x:v>
      </x:c>
      <x:c r="AQ15" t="str">
        <x:v>Noise / isolated</x:v>
      </x:c>
      <x:c r="AR15" s="207" t="n">
        <x:v>1.541822644321149</x:v>
      </x:c>
      <x:c r="AS15" s="207" t="n">
        <x:v>1.541822644321149</x:v>
      </x:c>
      <x:c r="AT15" s="207" t="n">
        <x:v>12.415479711967578</x:v>
      </x:c>
      <x:c r="AU15" s="208" t="n">
        <x:v>500</x:v>
      </x:c>
      <x:c r="AV15" s="209" t="n">
        <x:v>1</x:v>
      </x:c>
      <x:c r="AW15" s="207" t="n">
        <x:v>0.7719361137903836</x:v>
      </x:c>
      <x:c r="AX15" s="207" t="n">
        <x:v>24.206824773615864</x:v>
      </x:c>
      <x:c r="AY15" s="207" t="n">
        <x:v>1.2778095465339745</x:v>
      </x:c>
      <x:c r="AZ15" t="n">
        <x:v>925</x:v>
      </x:c>
      <x:c r="BA15" s="209" t="str">
        <x:v>47165</x:v>
      </x:c>
      <x:c r="BB15" s="209" t="str">
        <x:v>Sumner County</x:v>
      </x:c>
      <x:c r="BC15" t="n">
        <x:v>30</x:v>
      </x:c>
      <x:c r="BD15" s="209" t="n">
        <x:v>615</x:v>
      </x:c>
      <x:c r="BE15" s="209" t="n">
        <x:v>467</x:v>
      </x:c>
      <x:c r="BF15" t="n">
        <x:v>57</x:v>
      </x:c>
      <x:c r="BG15" s="209" t="n">
        <x:v>1692</x:v>
      </x:c>
      <x:c r="BH15" s="209" t="n">
        <x:v>956</x:v>
      </x:c>
      <x:c r="BI15" s="209" t="n">
        <x:v>56402</x:v>
      </x:c>
      <x:c r="BJ15" s="209" t="n">
        <x:v>3875</x:v>
      </x:c>
      <x:c r="BK15" s="209" t="str">
        <x:v>G</x:v>
      </x:c>
      <x:c r="BL15" s="209" t="n">
        <x:v>754</x:v>
      </x:c>
      <x:c r="BM15" s="209" t="n">
        <x:v>70</x:v>
      </x:c>
      <x:c r="BN15" s="209" t="str">
        <x:v>H</x:v>
      </x:c>
      <x:c r="BO15" s="209" t="n">
        <x:v>1911</x:v>
      </x:c>
      <x:c r="BP15" s="209" t="n">
        <x:v>289</x:v>
      </x:c>
      <x:c r="BQ15" s="209" t="str">
        <x:v>G</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direct_site_features</x:v>
      </x:c>
      <x:c r="AP16" s="207" t="n">
        <x:v>2.3980314314913542</x:v>
      </x:c>
      <x:c r="AQ16" t="str">
        <x:v>Noise / isolated</x:v>
      </x:c>
      <x:c r="AR16" s="207" t="n">
        <x:v>3.91959956912533</x:v>
      </x:c>
      <x:c r="AS16" s="207" t="n">
        <x:v>3.91959956912533</x:v>
      </x:c>
      <x:c r="AT16" s="207" t="n">
        <x:v>14.790394818910544</x:v>
      </x:c>
      <x:c r="AU16" s="208" t="n">
        <x:v>500</x:v>
      </x:c>
      <x:c r="AV16" s="209" t="n">
        <x:v>1</x:v>
      </x:c>
      <x:c r="AW16" s="207" t="n">
        <x:v>1.6581578932936945</x:v>
      </x:c>
      <x:c r="AX16" s="207" t="n">
        <x:v>24.948091855395333</x:v>
      </x:c>
      <x:c r="AY16" s="207" t="n">
        <x:v>0.4422402921235759</x:v>
      </x:c>
      <x:c r="AZ16" t="n">
        <x:v>930</x:v>
      </x:c>
      <x:c r="BA16" s="209" t="str">
        <x:v>47165</x:v>
      </x:c>
      <x:c r="BB16" s="209" t="str">
        <x:v>Sumner County</x:v>
      </x:c>
      <x:c r="BC16" t="n">
        <x:v>29</x:v>
      </x:c>
      <x:c r="BD16" s="209" t="n">
        <x:v>593</x:v>
      </x:c>
      <x:c r="BE16" s="209" t="n">
        <x:v>419</x:v>
      </x:c>
      <x:c r="BF16" t="n">
        <x:v>57</x:v>
      </x:c>
      <x:c r="BG16" s="209" t="n">
        <x:v>1692</x:v>
      </x:c>
      <x:c r="BH16" s="209" t="n">
        <x:v>956</x:v>
      </x:c>
      <x:c r="BI16" s="209" t="n">
        <x:v>56402</x:v>
      </x:c>
      <x:c r="BJ16" s="209" t="n">
        <x:v>3875</x:v>
      </x:c>
      <x:c r="BK16" s="209" t="str">
        <x:v>G</x:v>
      </x:c>
      <x:c r="BL16" s="209" t="n">
        <x:v>754</x:v>
      </x:c>
      <x:c r="BM16" s="209" t="n">
        <x:v>70</x:v>
      </x:c>
      <x:c r="BN16" s="209" t="str">
        <x:v>H</x:v>
      </x:c>
      <x:c r="BO16" s="209" t="n">
        <x:v>1911</x:v>
      </x:c>
      <x:c r="BP16" s="209" t="n">
        <x:v>289</x:v>
      </x:c>
      <x:c r="BQ16" s="209" t="str">
        <x:v>G</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direct_site_features</x:v>
      </x:c>
      <x:c r="AP17" s="207" t="n">
        <x:v>28.99347267843897</x:v>
      </x:c>
      <x:c r="AQ17" t="str">
        <x:v>Noise / isolated</x:v>
      </x:c>
      <x:c r="AR17" s="207" t="n">
        <x:v>1.1978992125192136</x:v>
      </x:c>
      <x:c r="AS17" s="207" t="n">
        <x:v>1.1978992125192136</x:v>
      </x:c>
      <x:c r="AT17" s="207" t="n">
        <x:v>31.896433653443474</x:v>
      </x:c>
      <x:c r="AU17" s="208" t="n">
        <x:v>161</x:v>
      </x:c>
      <x:c r="AV17" s="209" t="n">
        <x:v>3</x:v>
      </x:c>
      <x:c r="AW17" s="207" t="n">
        <x:v>0.1124495739899919</x:v>
      </x:c>
      <x:c r="AX17" s="207" t="n">
        <x:v>1.4793724136890174</x:v>
      </x:c>
      <x:c r="AY17" s="207" t="n">
        <x:v>0.3235840952448916</x:v>
      </x:c>
      <x:c r="AZ17" t="n">
        <x:v>917</x:v>
      </x:c>
      <x:c r="BA17" s="209" t="str">
        <x:v>47013</x:v>
      </x:c>
      <x:c r="BB17" s="209" t="str">
        <x:v>Campbell County</x:v>
      </x:c>
      <x:c r="BC17" t="n">
        <x:v>6</x:v>
      </x:c>
      <x:c r="BD17" s="209" t="n">
        <x:v>1544</x:v>
      </x:c>
      <x:c r="BE17" s="209" t="n">
        <x:v>26</x:v>
      </x:c>
      <x:c r="BF17" t="n">
        <x:v>24</x:v>
      </x:c>
      <x:c r="BG17" s="209" t="n">
        <x:v>2138</x:v>
      </x:c>
      <x:c r="BH17" s="209" t="n">
        <x:v>994</x:v>
      </x:c>
      <x:c r="BI17" s="209" t="n">
        <x:v>7285</x:v>
      </x:c>
      <x:c r="BJ17" s="209" t="n">
        <x:v>579</x:v>
      </x:c>
      <x:c r="BK17" s="209" t="str">
        <x:v>G</x:v>
      </x:c>
      <x:c r="BL17" s="209" t="n">
        <x:v>43</x:v>
      </x:c>
      <x:c r="BM17" s="209" t="n">
        <x:v>13</x:v>
      </x:c>
      <x:c r="BN17" s="209" t="str">
        <x:v>H</x:v>
      </x:c>
      <x:c r="BO17" s="209" t="n">
        <x:v>98</x:v>
      </x:c>
      <x:c r="BP17" s="209" t="n">
        <x:v>24</x:v>
      </x:c>
      <x:c r="BQ17" s="209" t="str">
        <x:v>H</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direct_site_features</x:v>
      </x:c>
      <x:c r="AP18" s="207" t="n">
        <x:v>7.584785746838801</x:v>
      </x:c>
      <x:c r="AQ18" t="str">
        <x:v>C4 Knoxville area</x:v>
      </x:c>
      <x:c r="AR18" s="207" t="n">
        <x:v>0.2313865857682145</x:v>
      </x:c>
      <x:c r="AS18" s="207" t="n">
        <x:v>1.7093783161502618</x:v>
      </x:c>
      <x:c r="AT18" s="207" t="n">
        <x:v>18.81818062745676</x:v>
      </x:c>
      <x:c r="AU18" s="208" t="n">
        <x:v>500</x:v>
      </x:c>
      <x:c r="AV18" s="209" t="n">
        <x:v>2</x:v>
      </x:c>
      <x:c r="AW18" s="207" t="n">
        <x:v>1.048316797114264</x:v>
      </x:c>
      <x:c r="AX18" s="207" t="n">
        <x:v>7.503498068760646</x:v>
      </x:c>
      <x:c r="AY18" s="207" t="n">
        <x:v>0.2826796179112065</x:v>
      </x:c>
      <x:c r="AZ18" t="n">
        <x:v>1210</x:v>
      </x:c>
      <x:c r="BA18" s="209" t="str">
        <x:v>47093</x:v>
      </x:c>
      <x:c r="BB18" s="209" t="str">
        <x:v>Knox County</x:v>
      </x:c>
      <x:c r="BC18" t="n">
        <x:v>11</x:v>
      </x:c>
      <x:c r="BD18" s="209" t="n">
        <x:v>381</x:v>
      </x:c>
      <x:c r="BE18" s="209" t="n">
        <x:v>968</x:v>
      </x:c>
      <x:c r="BF18" t="n">
        <x:v>28</x:v>
      </x:c>
      <x:c r="BG18" s="209" t="n">
        <x:v>1989</x:v>
      </x:c>
      <x:c r="BH18" s="209" t="n">
        <x:v>1052</x:v>
      </x:c>
      <x:c r="BI18" s="209" t="n">
        <x:v>242117</x:v>
      </x:c>
      <x:c r="BJ18" s="209" t="n">
        <x:v>12519</x:v>
      </x:c>
      <x:c r="BK18" s="209" t="str">
        <x:v>G</x:v>
      </x:c>
      <x:c r="BL18" s="209" t="n">
        <x:v>4993</x:v>
      </x:c>
      <x:c r="BM18" s="209" t="n">
        <x:v>237</x:v>
      </x:c>
      <x:c r="BN18" s="209" t="str">
        <x:v>G</x:v>
      </x:c>
      <x:c r="BO18" s="209" t="n">
        <x:v>13096</x:v>
      </x:c>
      <x:c r="BP18" s="209" t="n">
        <x:v>1306</x:v>
      </x:c>
      <x:c r="BQ18" s="209" t="str">
        <x:v>G</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direct_site_features</x:v>
      </x:c>
      <x:c r="AP19" s="207" t="n">
        <x:v>0.992513351398504</x:v>
      </x:c>
      <x:c r="AQ19" t="str">
        <x:v>C4 Knoxville area</x:v>
      </x:c>
      <x:c r="AR19" s="207" t="n">
        <x:v>0.4268084066683132</x:v>
      </x:c>
      <x:c r="AS19" s="207" t="n">
        <x:v>2.859111353593593</x:v>
      </x:c>
      <x:c r="AT19" s="207" t="n">
        <x:v>14.090986329547407</x:v>
      </x:c>
      <x:c r="AU19" s="208" t="n">
        <x:v>500</x:v>
      </x:c>
      <x:c r="AV19" s="209" t="n">
        <x:v>2</x:v>
      </x:c>
      <x:c r="AW19" s="207" t="n">
        <x:v>0.2191797735874382</x:v>
      </x:c>
      <x:c r="AX19" s="207" t="n">
        <x:v>0.5679865991787838</x:v>
      </x:c>
      <x:c r="AY19" s="207" t="n">
        <x:v>0.355008815222425</x:v>
      </x:c>
      <x:c r="AZ19" t="n">
        <x:v>1220</x:v>
      </x:c>
      <x:c r="BA19" s="209" t="str">
        <x:v>47093</x:v>
      </x:c>
      <x:c r="BB19" s="209" t="str">
        <x:v>Knox County</x:v>
      </x:c>
      <x:c r="BC19" t="n">
        <x:v>12</x:v>
      </x:c>
      <x:c r="BD19" s="209" t="n">
        <x:v>395</x:v>
      </x:c>
      <x:c r="BE19" s="209" t="n">
        <x:v>968</x:v>
      </x:c>
      <x:c r="BF19" t="n">
        <x:v>27</x:v>
      </x:c>
      <x:c r="BG19" s="209" t="n">
        <x:v>1975</x:v>
      </x:c>
      <x:c r="BH19" s="209" t="n">
        <x:v>1048</x:v>
      </x:c>
      <x:c r="BI19" s="209" t="n">
        <x:v>242117</x:v>
      </x:c>
      <x:c r="BJ19" s="209" t="n">
        <x:v>12519</x:v>
      </x:c>
      <x:c r="BK19" s="209" t="str">
        <x:v>G</x:v>
      </x:c>
      <x:c r="BL19" s="209" t="n">
        <x:v>4993</x:v>
      </x:c>
      <x:c r="BM19" s="209" t="n">
        <x:v>237</x:v>
      </x:c>
      <x:c r="BN19" s="209" t="str">
        <x:v>G</x:v>
      </x:c>
      <x:c r="BO19" s="209" t="n">
        <x:v>13096</x:v>
      </x:c>
      <x:c r="BP19" s="209" t="n">
        <x:v>1306</x:v>
      </x:c>
      <x:c r="BQ19" s="209" t="str">
        <x:v>G</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direct_site_features</x:v>
      </x:c>
      <x:c r="AP20" s="207" t="n">
        <x:v>4.917109437996493</x:v>
      </x:c>
      <x:c r="AQ20" t="str">
        <x:v>C4 Knoxville area</x:v>
      </x:c>
      <x:c r="AR20" s="207" t="n">
        <x:v>0.1749519251604409</x:v>
      </x:c>
      <x:c r="AS20" s="207" t="n">
        <x:v>0.7331509214128205</x:v>
      </x:c>
      <x:c r="AT20" s="207" t="n">
        <x:v>7.003961137321444</x:v>
      </x:c>
      <x:c r="AU20" s="208" t="n">
        <x:v>500</x:v>
      </x:c>
      <x:c r="AV20" s="209" t="n">
        <x:v>2</x:v>
      </x:c>
      <x:c r="AW20" s="207" t="n">
        <x:v>0.0156475901485648</x:v>
      </x:c>
      <x:c r="AX20" s="207" t="n">
        <x:v>3.9786798846338463</x:v>
      </x:c>
      <x:c r="AY20" s="207" t="n">
        <x:v>0.4660022321881332</x:v>
      </x:c>
      <x:c r="AZ20" t="n">
        <x:v>1210</x:v>
      </x:c>
      <x:c r="BA20" s="209" t="str">
        <x:v>47105</x:v>
      </x:c>
      <x:c r="BB20" s="209" t="str">
        <x:v>Loudon County</x:v>
      </x:c>
      <x:c r="BC20" t="n">
        <x:v>14</x:v>
      </x:c>
      <x:c r="BD20" s="209" t="n">
        <x:v>390</x:v>
      </x:c>
      <x:c r="BE20" s="209" t="n">
        <x:v>969</x:v>
      </x:c>
      <x:c r="BF20" t="n">
        <x:v>28</x:v>
      </x:c>
      <x:c r="BG20" s="209" t="n">
        <x:v>495</x:v>
      </x:c>
      <x:c r="BH20" s="209" t="n">
        <x:v>978</x:v>
      </x:c>
      <x:c r="BI20" s="209" t="n">
        <x:v>14920</x:v>
      </x:c>
      <x:c r="BJ20" s="209" t="n">
        <x:v>1027</x:v>
      </x:c>
      <x:c r="BK20" s="209" t="str">
        <x:v>G</x:v>
      </x:c>
      <x:c r="BL20" s="209" t="n">
        <x:v>374</x:v>
      </x:c>
      <x:c r="BM20" s="209" t="n">
        <x:v>12</x:v>
      </x:c>
      <x:c r="BN20" s="209" t="str">
        <x:v>J</x:v>
      </x:c>
      <x:c r="BO20" s="209" t="n">
        <x:v>666</x:v>
      </x:c>
      <x:c r="BP20" s="209" t="n">
        <x:v>66</x:v>
      </x:c>
      <x:c r="BQ20" s="209" t="str">
        <x:v>H</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direct_site_features</x:v>
      </x:c>
      <x:c r="AP21" s="207" t="n">
        <x:v>57.045255277578455</x:v>
      </x:c>
      <x:c r="AQ21" t="str">
        <x:v>Noise / isolated</x:v>
      </x:c>
      <x:c r="AR21" s="207" t="n">
        <x:v>0.190786926193177</x:v>
      </x:c>
      <x:c r="AS21" s="207" t="n">
        <x:v>2.1251177094146807</x:v>
      </x:c>
      <x:c r="AT21" s="207" t="n">
        <x:v>17.66443363436844</x:v>
      </x:c>
      <x:c r="AU21" s="208" t="n">
        <x:v>500</x:v>
      </x:c>
      <x:c r="AV21" s="209" t="n">
        <x:v>1</x:v>
      </x:c>
      <x:c r="AW21" s="207" t="n">
        <x:v>1.474933927023007</x:v>
      </x:c>
      <x:c r="AX21" s="207" t="n">
        <x:v>16.368752508779316</x:v>
      </x:c>
      <x:c r="AY21" s="207" t="n">
        <x:v>0.495141034497529</x:v>
      </x:c>
      <x:c r="AZ21" t="n">
        <x:v>1148</x:v>
      </x:c>
      <x:c r="BA21" s="209" t="str">
        <x:v>47179</x:v>
      </x:c>
      <x:c r="BB21" s="209" t="str">
        <x:v>Washington County</x:v>
      </x:c>
      <x:c r="BC21" t="n">
        <x:v>8</x:v>
      </x:c>
      <x:c r="BD21" s="209" t="n">
        <x:v>224</x:v>
      </x:c>
      <x:c r="BE21" s="209" t="n">
        <x:v>23</x:v>
      </x:c>
      <x:c r="BF21" t="n">
        <x:v>33</x:v>
      </x:c>
      <x:c r="BG21" s="209" t="n">
        <x:v>749</x:v>
      </x:c>
      <x:c r="BH21" s="209" t="n">
        <x:v>74</x:v>
      </x:c>
      <x:c r="BI21" s="209" t="n">
        <x:v>56072</x:v>
      </x:c>
      <x:c r="BJ21" s="209" t="n">
        <x:v>3076</x:v>
      </x:c>
      <x:c r="BK21" s="209" t="str">
        <x:v>G</x:v>
      </x:c>
      <x:c r="BL21" s="209" t="n">
        <x:v>771</x:v>
      </x:c>
      <x:c r="BM21" s="209" t="n">
        <x:v>56</x:v>
      </x:c>
      <x:c r="BN21" s="209" t="str">
        <x:v>H</x:v>
      </x:c>
      <x:c r="BO21" s="209" t="n">
        <x:v>1514</x:v>
      </x:c>
      <x:c r="BP21" s="209" t="n">
        <x:v>197</x:v>
      </x:c>
      <x:c r="BQ21" s="209" t="str">
        <x:v>H</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direct_site_features</x:v>
      </x:c>
      <x:c r="AP22" s="207" t="n">
        <x:v>43.6773958414442</x:v>
      </x:c>
      <x:c r="AQ22" t="str">
        <x:v>Noise / isolated</x:v>
      </x:c>
      <x:c r="AR22" s="207" t="n">
        <x:v>1.4658739374691323</x:v>
      </x:c>
      <x:c r="AS22" s="207" t="n">
        <x:v>1.4658739374691323</x:v>
      </x:c>
      <x:c r="AT22" s="207" t="n">
        <x:v>3.778594864329164</x:v>
      </x:c>
      <x:c r="AU22" s="208" t="n">
        <x:v>500</x:v>
      </x:c>
      <x:c r="AV22" s="209" t="n">
        <x:v>1</x:v>
      </x:c>
      <x:c r="AW22" s="207" t="n">
        <x:v>5.375552404498445</x:v>
      </x:c>
      <x:c r="AX22" s="207" t="n">
        <x:v>6.896218127128046</x:v>
      </x:c>
      <x:c r="AY22" s="207" t="n">
        <x:v>0.1760684700295366</x:v>
      </x:c>
      <x:c r="AZ22" t="n">
        <x:v>1018</x:v>
      </x:c>
      <x:c r="BA22" s="209" t="str">
        <x:v>47031</x:v>
      </x:c>
      <x:c r="BB22" s="209" t="str">
        <x:v>Coffee County</x:v>
      </x:c>
      <x:c r="BC22" t="n">
        <x:v>5</x:v>
      </x:c>
      <x:c r="BD22" s="209" t="n">
        <x:v>67</x:v>
      </x:c>
      <x:c r="BE22" s="209" t="n">
        <x:v>0</x:v>
      </x:c>
      <x:c r="BF22" t="n">
        <x:v>38</x:v>
      </x:c>
      <x:c r="BG22" s="209" t="n">
        <x:v>929</x:v>
      </x:c>
      <x:c r="BH22" s="209" t="n">
        <x:v>937</x:v>
      </x:c>
      <x:c r="BI22" s="209" t="n">
        <x:v>21060</x:v>
      </x:c>
      <x:c r="BJ22" s="209" t="n">
        <x:v>1308</x:v>
      </x:c>
      <x:c r="BK22" s="209" t="str">
        <x:v>G</x:v>
      </x:c>
      <x:c r="BL22" s="209" t="n">
        <x:v>298</x:v>
      </x:c>
      <x:c r="BM22" s="209" t="n">
        <x:v>22</x:v>
      </x:c>
      <x:c r="BN22" s="209" t="str">
        <x:v>H</x:v>
      </x:c>
      <x:c r="BO22" s="209" t="n">
        <x:v>1083</x:v>
      </x:c>
      <x:c r="BP22" s="209" t="n">
        <x:v>77</x:v>
      </x:c>
      <x:c r="BQ22" s="209" t="str">
        <x:v>H</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direct_site_features</x:v>
      </x:c>
      <x:c r="AP23" s="207" t="n">
        <x:v>27.74221155274318</x:v>
      </x:c>
      <x:c r="AQ23" t="str">
        <x:v>Noise / isolated</x:v>
      </x:c>
      <x:c r="AR23" s="207" t="n">
        <x:v>0.0349440603714979</x:v>
      </x:c>
      <x:c r="AS23" s="207" t="n">
        <x:v>10.264845416036176</x:v>
      </x:c>
      <x:c r="AT23" s="207" t="n">
        <x:v>11.767292743393927</x:v>
      </x:c>
      <x:c r="AU23" s="208" t="n">
        <x:v>500</x:v>
      </x:c>
      <x:c r="AV23" s="209" t="n">
        <x:v>1</x:v>
      </x:c>
      <x:c r="AW23" s="207" t="n">
        <x:v>0.1754402631891888</x:v>
      </x:c>
      <x:c r="AX23" s="207" t="n">
        <x:v>25.255352267090117</x:v>
      </x:c>
      <x:c r="AY23" s="207" t="n">
        <x:v>0.1102396338194165</x:v>
      </x:c>
      <x:c r="AZ23" t="n">
        <x:v>985</x:v>
      </x:c>
      <x:c r="BA23" s="209" t="str">
        <x:v>47173</x:v>
      </x:c>
      <x:c r="BB23" s="209" t="str">
        <x:v>Union County</x:v>
      </x:c>
      <x:c r="BC23" t="n">
        <x:v>15</x:v>
      </x:c>
      <x:c r="BD23" s="209" t="n">
        <x:v>420</x:v>
      </x:c>
      <x:c r="BE23" s="209" t="n">
        <x:v>965</x:v>
      </x:c>
      <x:c r="BF23" t="n">
        <x:v>25</x:v>
      </x:c>
      <x:c r="BG23" s="209" t="n">
        <x:v>1973</x:v>
      </x:c>
      <x:c r="BH23" s="209" t="n">
        <x:v>994</x:v>
      </x:c>
      <x:c r="BI23" s="209" t="n">
        <x:v>1971</x:v>
      </x:c>
      <x:c r="BJ23" s="209" t="n">
        <x:v>228</x:v>
      </x:c>
      <x:c r="BK23" s="209" t="str">
        <x:v>G</x:v>
      </x:c>
      <x:c r="BL23" s="209" t="n">
        <x:v>65</x:v>
      </x:c>
      <x:c r="BM23" s="209" t="n">
        <x:v>7</x:v>
      </x:c>
      <x:c r="BN23" s="209" t="str">
        <x:v>H</x:v>
      </x:c>
      <x:c r="BO23" s="209" t="n">
        <x:v>91</x:v>
      </x:c>
      <x:c r="BP23" s="209" t="n">
        <x:v>12</x:v>
      </x:c>
      <x:c r="BQ23" s="209" t="str">
        <x:v>J</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2026-09-07</x:v>
      </x:c>
      <x:c r="AG24" s="85" t="str">
        <x:v>confirmed</x:v>
      </x:c>
      <x:c r="AH24" s="85" t="str">
        <x:v>identified</x:v>
      </x:c>
      <x:c r="AI24" s="96" t="n">
        <x:v>5</x:v>
      </x:c>
      <x:c r="AJ24" s="86" t="b">
        <x:v>1</x:v>
      </x:c>
      <x:c r="AK24" s="96" t="n">
        <x:v>62</x:v>
      </x:c>
      <x:c r="AL24" s="85" t="str">
        <x:v>medium</x:v>
      </x:c>
      <x:c r="AM24" s="85" t="str">
        <x:v>Hixson's current site confirms a planned 25 MW McMinnville/Warren County project but does not publish a parcel or street address. Local reporting supports only a vicinity near 191 Industrial Dr; retain this point solely as approximate_site, not as an exact parcel.</x:v>
      </x:c>
      <x:c r="AN24" s="85" t="str">
        <x:v>1.1</x:v>
      </x:c>
      <x:c r="AO24" s="85" t="str">
        <x:v>direct_site_features</x:v>
      </x:c>
      <x:c r="AP24" s="207" t="n">
        <x:v>7.55864423304588</x:v>
      </x:c>
      <x:c r="AQ24" t="str">
        <x:v>Noise / isolated</x:v>
      </x:c>
      <x:c r="AR24" s="207" t="n">
        <x:v>3.670810269189298</x:v>
      </x:c>
      <x:c r="AS24" s="207" t="n">
        <x:v>3.670810269189298</x:v>
      </x:c>
      <x:c r="AT24" s="207" t="n">
        <x:v>43.05319069901394</x:v>
      </x:c>
      <x:c r="AU24" s="208" t="n">
        <x:v>161</x:v>
      </x:c>
      <x:c r="AV24" s="209" t="n">
        <x:v>1</x:v>
      </x:c>
      <x:c r="AW24" s="207" t="n">
        <x:v>1.639881477326324</x:v>
      </x:c>
      <x:c r="AX24" s="207" t="n">
        <x:v>32.901569856081274</x:v>
      </x:c>
      <x:c r="AY24" s="207" t="n">
        <x:v>0.685404786228203</x:v>
      </x:c>
      <x:c r="AZ24" t="n">
        <x:v>895</x:v>
      </x:c>
      <x:c r="BA24" s="209" t="str">
        <x:v>47177</x:v>
      </x:c>
      <x:c r="BB24" s="209" t="str">
        <x:v>Warren County</x:v>
      </x:c>
      <x:c r="BC24" t="n">
        <x:v>3</x:v>
      </x:c>
      <x:c r="BD24" s="209" t="n">
        <x:v>213</x:v>
      </x:c>
      <x:c r="BE24" s="209" t="n">
        <x:v>52</x:v>
      </x:c>
      <x:c r="BF24" t="n">
        <x:v>52</x:v>
      </x:c>
      <x:c r="BG24" s="209" t="n">
        <x:v>1307</x:v>
      </x:c>
      <x:c r="BH24" s="209" t="n">
        <x:v>958</x:v>
      </x:c>
      <x:c r="BI24" s="209" t="n">
        <x:v>9738</x:v>
      </x:c>
      <x:c r="BJ24" s="209" t="n">
        <x:v>781</x:v>
      </x:c>
      <x:c r="BK24" s="209" t="str">
        <x:v>H</x:v>
      </x:c>
      <x:c r="BL24" s="209" t="n">
        <x:v>196</x:v>
      </x:c>
      <x:c r="BM24" s="209" t="n">
        <x:v>12</x:v>
      </x:c>
      <x:c r="BN24" s="209" t="str">
        <x:v>H</x:v>
      </x:c>
      <x:c r="BO24" s="209" t="n">
        <x:v>170</x:v>
      </x:c>
      <x:c r="BP24" s="209" t="n">
        <x:v>46</x:v>
      </x:c>
      <x:c r="BQ24" s="209" t="str">
        <x:v>H</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direct_site_features</x:v>
      </x:c>
      <x:c r="AP25" s="207" t="n">
        <x:v>7.55864423304588</x:v>
      </x:c>
      <x:c r="AQ25" t="str">
        <x:v>Noise / isolated</x:v>
      </x:c>
      <x:c r="AR25" s="207" t="n">
        <x:v>2.132477135416224</x:v>
      </x:c>
      <x:c r="AS25" s="207" t="n">
        <x:v>2.132477135416224</x:v>
      </x:c>
      <x:c r="AT25" s="207" t="n">
        <x:v>38.88347996553414</x:v>
      </x:c>
      <x:c r="AU25" s="208" t="n">
        <x:v>161</x:v>
      </x:c>
      <x:c r="AV25" s="209" t="n">
        <x:v>1</x:v>
      </x:c>
      <x:c r="AW25" s="207" t="n">
        <x:v>0.4944864850989494</x:v>
      </x:c>
      <x:c r="AX25" s="207" t="n">
        <x:v>35.95161008183839</x:v>
      </x:c>
      <x:c r="AY25" s="207" t="n">
        <x:v>0.7994885219051292</x:v>
      </x:c>
      <x:c r="AZ25" t="n">
        <x:v>841</x:v>
      </x:c>
      <x:c r="BA25" s="209" t="str">
        <x:v>47177</x:v>
      </x:c>
      <x:c r="BB25" s="209" t="str">
        <x:v>Warren County</x:v>
      </x:c>
      <x:c r="BC25" t="n">
        <x:v>2</x:v>
      </x:c>
      <x:c r="BD25" s="209" t="n">
        <x:v>14</x:v>
      </x:c>
      <x:c r="BE25" s="209" t="n">
        <x:v>0</x:v>
      </x:c>
      <x:c r="BF25" t="n">
        <x:v>40</x:v>
      </x:c>
      <x:c r="BG25" s="209" t="n">
        <x:v>935</x:v>
      </x:c>
      <x:c r="BH25" s="209" t="n">
        <x:v>552</x:v>
      </x:c>
      <x:c r="BI25" s="209" t="n">
        <x:v>9738</x:v>
      </x:c>
      <x:c r="BJ25" s="209" t="n">
        <x:v>781</x:v>
      </x:c>
      <x:c r="BK25" s="209" t="str">
        <x:v>H</x:v>
      </x:c>
      <x:c r="BL25" s="209" t="n">
        <x:v>196</x:v>
      </x:c>
      <x:c r="BM25" s="209" t="n">
        <x:v>12</x:v>
      </x:c>
      <x:c r="BN25" s="209" t="str">
        <x:v>H</x:v>
      </x:c>
      <x:c r="BO25" s="209" t="n">
        <x:v>170</x:v>
      </x:c>
      <x:c r="BP25" s="209" t="n">
        <x:v>46</x:v>
      </x:c>
      <x:c r="BQ25" s="209" t="str">
        <x:v>H</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direct_site_features</x:v>
      </x:c>
      <x:c r="AP26" s="207" t="n">
        <x:v>6.5393152771957945</x:v>
      </x:c>
      <x:c r="AQ26" t="str">
        <x:v>C1 Memphis area</x:v>
      </x:c>
      <x:c r="AR26" s="207" t="n">
        <x:v>1.801478760362311</x:v>
      </x:c>
      <x:c r="AS26" s="207" t="n">
        <x:v>1.801478760362311</x:v>
      </x:c>
      <x:c r="AT26" s="207" t="n">
        <x:v>6.51808905597597</x:v>
      </x:c>
      <x:c r="AU26" s="208" t="n">
        <x:v>500</x:v>
      </x:c>
      <x:c r="AV26" s="209" t="n">
        <x:v>2</x:v>
      </x:c>
      <x:c r="AW26" s="207" t="n">
        <x:v>0.1614199250776193</x:v>
      </x:c>
      <x:c r="AX26" s="207" t="n">
        <x:v>1.4795104512074932</x:v>
      </x:c>
      <x:c r="AY26" s="207" t="n">
        <x:v>0.4020932115671458</x:v>
      </x:c>
      <x:c r="AZ26" t="n">
        <x:v>1606</x:v>
      </x:c>
      <x:c r="BA26" s="209" t="str">
        <x:v>47157</x:v>
      </x:c>
      <x:c r="BB26" s="209" t="str">
        <x:v>Shelby County</x:v>
      </x:c>
      <x:c r="BC26" t="n">
        <x:v>27</x:v>
      </x:c>
      <x:c r="BD26" s="209" t="n">
        <x:v>956</x:v>
      </x:c>
      <x:c r="BE26" s="209" t="n">
        <x:v>286</x:v>
      </x:c>
      <x:c r="BF26" t="n">
        <x:v>36</x:v>
      </x:c>
      <x:c r="BG26" s="209" t="n">
        <x:v>1218</x:v>
      </x:c>
      <x:c r="BH26" s="209" t="n">
        <x:v>481</x:v>
      </x:c>
      <x:c r="BI26" s="209" t="n">
        <x:v>446048</x:v>
      </x:c>
      <x:c r="BJ26" s="209" t="n">
        <x:v>19359</x:v>
      </x:c>
      <x:c r="BK26" s="209" t="str">
        <x:v>G</x:v>
      </x:c>
      <x:c r="BL26" s="209" t="n">
        <x:v>4823</x:v>
      </x:c>
      <x:c r="BM26" s="209" t="n">
        <x:v>318</x:v>
      </x:c>
      <x:c r="BN26" s="209" t="str">
        <x:v>G</x:v>
      </x:c>
      <x:c r="BO26" s="209" t="n">
        <x:v>20108</x:v>
      </x:c>
      <x:c r="BP26" s="209" t="n">
        <x:v>1599</x:v>
      </x:c>
      <x:c r="BQ26" s="209" t="str">
        <x:v>G</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direct_site_features</x:v>
      </x:c>
      <x:c r="AP27" s="207" t="n">
        <x:v>0.3454071544348475</x:v>
      </x:c>
      <x:c r="AQ27" t="str">
        <x:v>C1 Memphis area</x:v>
      </x:c>
      <x:c r="AR27" s="207" t="n">
        <x:v>0.4488855567176492</x:v>
      </x:c>
      <x:c r="AS27" s="207" t="n">
        <x:v>3.197151023892995</x:v>
      </x:c>
      <x:c r="AT27" s="207" t="n">
        <x:v>3.197151023892995</x:v>
      </x:c>
      <x:c r="AU27" s="208" t="n">
        <x:v>500</x:v>
      </x:c>
      <x:c r="AV27" s="209" t="n">
        <x:v>2</x:v>
      </x:c>
      <x:c r="AW27" s="207" t="n">
        <x:v>2.045267858764466</x:v>
      </x:c>
      <x:c r="AX27" s="207" t="n">
        <x:v>4.738141350151713</x:v>
      </x:c>
      <x:c r="AY27" s="207" t="n">
        <x:v>0.1410492800953825</x:v>
      </x:c>
      <x:c r="AZ27" t="n">
        <x:v>1240</x:v>
      </x:c>
      <x:c r="BA27" s="209" t="str">
        <x:v>47157</x:v>
      </x:c>
      <x:c r="BB27" s="209" t="str">
        <x:v>Shelby County</x:v>
      </x:c>
      <x:c r="BC27" t="n">
        <x:v>29</x:v>
      </x:c>
      <x:c r="BD27" s="209" t="n">
        <x:v>1106</x:v>
      </x:c>
      <x:c r="BE27" s="209" t="n">
        <x:v>296</x:v>
      </x:c>
      <x:c r="BF27" t="n">
        <x:v>35</x:v>
      </x:c>
      <x:c r="BG27" s="209" t="n">
        <x:v>1204</x:v>
      </x:c>
      <x:c r="BH27" s="209" t="n">
        <x:v>481</x:v>
      </x:c>
      <x:c r="BI27" s="209" t="n">
        <x:v>446048</x:v>
      </x:c>
      <x:c r="BJ27" s="209" t="n">
        <x:v>19359</x:v>
      </x:c>
      <x:c r="BK27" s="209" t="str">
        <x:v>G</x:v>
      </x:c>
      <x:c r="BL27" s="209" t="n">
        <x:v>4823</x:v>
      </x:c>
      <x:c r="BM27" s="209" t="n">
        <x:v>318</x:v>
      </x:c>
      <x:c r="BN27" s="209" t="str">
        <x:v>G</x:v>
      </x:c>
      <x:c r="BO27" s="209" t="n">
        <x:v>20108</x:v>
      </x:c>
      <x:c r="BP27" s="209" t="n">
        <x:v>1599</x:v>
      </x:c>
      <x:c r="BQ27" s="209" t="str">
        <x:v>G</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direct_site_features</x:v>
      </x:c>
      <x:c r="AP28" s="207" t="n">
        <x:v>9.26082548446652</x:v>
      </x:c>
      <x:c r="AQ28" t="str">
        <x:v>C1 Memphis area</x:v>
      </x:c>
      <x:c r="AR28" s="207" t="n">
        <x:v>2.743864322292094</x:v>
      </x:c>
      <x:c r="AS28" s="207" t="n">
        <x:v>2.743864322292094</x:v>
      </x:c>
      <x:c r="AT28" s="207" t="n">
        <x:v>4.203553032602433</x:v>
      </x:c>
      <x:c r="AU28" s="208" t="n">
        <x:v>500</x:v>
      </x:c>
      <x:c r="AV28" s="209" t="n">
        <x:v>2</x:v>
      </x:c>
      <x:c r="AW28" s="207" t="n">
        <x:v>1.7586309331365042</x:v>
      </x:c>
      <x:c r="AX28" s="207" t="n">
        <x:v>8.267327931912364</x:v>
      </x:c>
      <x:c r="AY28" s="207" t="n">
        <x:v>0.2850046653473752</x:v>
      </x:c>
      <x:c r="AZ28" t="n">
        <x:v>1366</x:v>
      </x:c>
      <x:c r="BA28" s="209" t="str">
        <x:v>47157</x:v>
      </x:c>
      <x:c r="BB28" s="209" t="str">
        <x:v>Shelby County</x:v>
      </x:c>
      <x:c r="BC28" t="n">
        <x:v>28</x:v>
      </x:c>
      <x:c r="BD28" s="209" t="n">
        <x:v>959</x:v>
      </x:c>
      <x:c r="BE28" s="209" t="n">
        <x:v>286</x:v>
      </x:c>
      <x:c r="BF28" t="n">
        <x:v>36</x:v>
      </x:c>
      <x:c r="BG28" s="209" t="n">
        <x:v>1235</x:v>
      </x:c>
      <x:c r="BH28" s="209" t="n">
        <x:v>481</x:v>
      </x:c>
      <x:c r="BI28" s="209" t="n">
        <x:v>446048</x:v>
      </x:c>
      <x:c r="BJ28" s="209" t="n">
        <x:v>19359</x:v>
      </x:c>
      <x:c r="BK28" s="209" t="str">
        <x:v>G</x:v>
      </x:c>
      <x:c r="BL28" s="209" t="n">
        <x:v>4823</x:v>
      </x:c>
      <x:c r="BM28" s="209" t="n">
        <x:v>318</x:v>
      </x:c>
      <x:c r="BN28" s="209" t="str">
        <x:v>G</x:v>
      </x:c>
      <x:c r="BO28" s="209" t="n">
        <x:v>20108</x:v>
      </x:c>
      <x:c r="BP28" s="209" t="n">
        <x:v>1599</x:v>
      </x:c>
      <x:c r="BQ28" s="209" t="str">
        <x:v>G</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direct_site_features</x:v>
      </x:c>
      <x:c r="AP29" s="207" t="n">
        <x:v>0.6115269873530994</x:v>
      </x:c>
      <x:c r="AQ29" t="str">
        <x:v>C1 Memphis area</x:v>
      </x:c>
      <x:c r="AR29" s="207" t="n">
        <x:v>0.3074476694115916</x:v>
      </x:c>
      <x:c r="AS29" s="207" t="n">
        <x:v>3.465447418191996</x:v>
      </x:c>
      <x:c r="AT29" s="207" t="n">
        <x:v>3.465447418191996</x:v>
      </x:c>
      <x:c r="AU29" s="208" t="n">
        <x:v>500</x:v>
      </x:c>
      <x:c r="AV29" s="209" t="n">
        <x:v>3</x:v>
      </x:c>
      <x:c r="AW29" s="207" t="n">
        <x:v>0.5701825438554421</x:v>
      </x:c>
      <x:c r="AX29" s="207" t="n">
        <x:v>5.5848875252100845</x:v>
      </x:c>
      <x:c r="AY29" s="207" t="n">
        <x:v>0.4033270583573426</x:v>
      </x:c>
      <x:c r="AZ29" t="n">
        <x:v>1185</x:v>
      </x:c>
      <x:c r="BA29" s="209" t="str">
        <x:v>47157</x:v>
      </x:c>
      <x:c r="BB29" s="209" t="str">
        <x:v>Shelby County</x:v>
      </x:c>
      <x:c r="BC29" t="n">
        <x:v>28</x:v>
      </x:c>
      <x:c r="BD29" s="209" t="n">
        <x:v>1103</x:v>
      </x:c>
      <x:c r="BE29" s="209" t="n">
        <x:v>296</x:v>
      </x:c>
      <x:c r="BF29" t="n">
        <x:v>35</x:v>
      </x:c>
      <x:c r="BG29" s="209" t="n">
        <x:v>1204</x:v>
      </x:c>
      <x:c r="BH29" s="209" t="n">
        <x:v>481</x:v>
      </x:c>
      <x:c r="BI29" s="209" t="n">
        <x:v>446048</x:v>
      </x:c>
      <x:c r="BJ29" s="209" t="n">
        <x:v>19359</x:v>
      </x:c>
      <x:c r="BK29" s="209" t="str">
        <x:v>G</x:v>
      </x:c>
      <x:c r="BL29" s="209" t="n">
        <x:v>4823</x:v>
      </x:c>
      <x:c r="BM29" s="209" t="n">
        <x:v>318</x:v>
      </x:c>
      <x:c r="BN29" s="209" t="str">
        <x:v>G</x:v>
      </x:c>
      <x:c r="BO29" s="209" t="n">
        <x:v>20108</x:v>
      </x:c>
      <x:c r="BP29" s="209" t="n">
        <x:v>1599</x:v>
      </x:c>
      <x:c r="BQ29" s="209" t="str">
        <x:v>G</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direct_site_features</x:v>
      </x:c>
      <x:c r="AP30" s="207" t="n">
        <x:v>12.992330991063133</x:v>
      </x:c>
      <x:c r="AQ30" t="str">
        <x:v>C1 Memphis area</x:v>
      </x:c>
      <x:c r="AR30" s="207" t="n">
        <x:v>0.3825056426327811</x:v>
      </x:c>
      <x:c r="AS30" s="207" t="n">
        <x:v>0.3825056426327811</x:v>
      </x:c>
      <x:c r="AT30" s="207" t="n">
        <x:v>0.6164401627809571</x:v>
      </x:c>
      <x:c r="AU30" s="208" t="n">
        <x:v>500</x:v>
      </x:c>
      <x:c r="AV30" s="209" t="n">
        <x:v>3</x:v>
      </x:c>
      <x:c r="AW30" s="207" t="n">
        <x:v>7.504371525109421</x:v>
      </x:c>
      <x:c r="AX30" s="207" t="n">
        <x:v>7.836205367039168</x:v>
      </x:c>
      <x:c r="AY30" s="207" t="n">
        <x:v>1.966385380374673</x:v>
      </x:c>
      <x:c r="AZ30" t="n">
        <x:v>1123</x:v>
      </x:c>
      <x:c r="BA30" s="209" t="str">
        <x:v>47157</x:v>
      </x:c>
      <x:c r="BB30" s="209" t="str">
        <x:v>Shelby County</x:v>
      </x:c>
      <x:c r="BC30" t="n">
        <x:v>27</x:v>
      </x:c>
      <x:c r="BD30" s="209" t="n">
        <x:v>956</x:v>
      </x:c>
      <x:c r="BE30" s="209" t="n">
        <x:v>286</x:v>
      </x:c>
      <x:c r="BF30" t="n">
        <x:v>36</x:v>
      </x:c>
      <x:c r="BG30" s="209" t="n">
        <x:v>1231</x:v>
      </x:c>
      <x:c r="BH30" s="209" t="n">
        <x:v>540</x:v>
      </x:c>
      <x:c r="BI30" s="209" t="n">
        <x:v>446048</x:v>
      </x:c>
      <x:c r="BJ30" s="209" t="n">
        <x:v>19359</x:v>
      </x:c>
      <x:c r="BK30" s="209" t="str">
        <x:v>G</x:v>
      </x:c>
      <x:c r="BL30" s="209" t="n">
        <x:v>4823</x:v>
      </x:c>
      <x:c r="BM30" s="209" t="n">
        <x:v>318</x:v>
      </x:c>
      <x:c r="BN30" s="209" t="str">
        <x:v>G</x:v>
      </x:c>
      <x:c r="BO30" s="209" t="n">
        <x:v>20108</x:v>
      </x:c>
      <x:c r="BP30" s="209" t="n">
        <x:v>1599</x:v>
      </x:c>
      <x:c r="BQ30" s="209" t="str">
        <x:v>G</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direct_site_features</x:v>
      </x:c>
      <x:c r="AP31" s="207" t="n">
        <x:v>9.853330615022765</x:v>
      </x:c>
      <x:c r="AQ31" t="str">
        <x:v>C1 Memphis area</x:v>
      </x:c>
      <x:c r="AR31" s="207" t="n">
        <x:v>0.331100853314858</x:v>
      </x:c>
      <x:c r="AS31" s="207" t="n">
        <x:v>0.5450873034591647</x:v>
      </x:c>
      <x:c r="AT31" s="207" t="n">
        <x:v>0.5450873034591647</x:v>
      </x:c>
      <x:c r="AU31" s="208" t="n">
        <x:v>500</x:v>
      </x:c>
      <x:c r="AV31" s="209" t="n">
        <x:v>3</x:v>
      </x:c>
      <x:c r="AW31" s="207" t="n">
        <x:v>0.9131365437319892</x:v>
      </x:c>
      <x:c r="AX31" s="207" t="n">
        <x:v>2.9605312398261776</x:v>
      </x:c>
      <x:c r="AY31" s="207" t="n">
        <x:v>0.5167153407544153</x:v>
      </x:c>
      <x:c r="AZ31" t="n">
        <x:v>1127</x:v>
      </x:c>
      <x:c r="BA31" s="209" t="str">
        <x:v>47157</x:v>
      </x:c>
      <x:c r="BB31" s="209" t="str">
        <x:v>Shelby County</x:v>
      </x:c>
      <x:c r="BC31" t="n">
        <x:v>28</x:v>
      </x:c>
      <x:c r="BD31" s="209" t="n">
        <x:v>1103</x:v>
      </x:c>
      <x:c r="BE31" s="209" t="n">
        <x:v>296</x:v>
      </x:c>
      <x:c r="BF31" t="n">
        <x:v>34</x:v>
      </x:c>
      <x:c r="BG31" s="209" t="n">
        <x:v>1174</x:v>
      </x:c>
      <x:c r="BH31" s="209" t="n">
        <x:v>481</x:v>
      </x:c>
      <x:c r="BI31" s="209" t="n">
        <x:v>446048</x:v>
      </x:c>
      <x:c r="BJ31" s="209" t="n">
        <x:v>19359</x:v>
      </x:c>
      <x:c r="BK31" s="209" t="str">
        <x:v>G</x:v>
      </x:c>
      <x:c r="BL31" s="209" t="n">
        <x:v>4823</x:v>
      </x:c>
      <x:c r="BM31" s="209" t="n">
        <x:v>318</x:v>
      </x:c>
      <x:c r="BN31" s="209" t="str">
        <x:v>G</x:v>
      </x:c>
      <x:c r="BO31" s="209" t="n">
        <x:v>20108</x:v>
      </x:c>
      <x:c r="BP31" s="209" t="n">
        <x:v>1599</x:v>
      </x:c>
      <x:c r="BQ31" s="209" t="str">
        <x:v>G</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direct_site_features</x:v>
      </x:c>
      <x:c r="AP32" s="207" t="n">
        <x:v>1.5634296886992427</x:v>
      </x:c>
      <x:c r="AQ32" t="str">
        <x:v>C2 Nashville area</x:v>
      </x:c>
      <x:c r="AR32" s="207" t="n">
        <x:v>0.115983122705762</x:v>
      </x:c>
      <x:c r="AS32" s="207" t="n">
        <x:v>0.6606674404981177</x:v>
      </x:c>
      <x:c r="AT32" s="207" t="n">
        <x:v>11.2366852000021</x:v>
      </x:c>
      <x:c r="AU32" s="208" t="n">
        <x:v>500</x:v>
      </x:c>
      <x:c r="AV32" s="209" t="n">
        <x:v>1</x:v>
      </x:c>
      <x:c r="AW32" s="207" t="n">
        <x:v>1.0324548896531869</x:v>
      </x:c>
      <x:c r="AX32" s="207" t="n">
        <x:v>1.3766893607197908</x:v>
      </x:c>
      <x:c r="AY32" s="207" t="n">
        <x:v>0.5877614886412902</x:v>
      </x:c>
      <x:c r="AZ32" t="n">
        <x:v>893</x:v>
      </x:c>
      <x:c r="BA32" s="209" t="str">
        <x:v>47037</x:v>
      </x:c>
      <x:c r="BB32" s="209" t="str">
        <x:v>Davidson County</x:v>
      </x:c>
      <x:c r="BC32" t="n">
        <x:v>38</x:v>
      </x:c>
      <x:c r="BD32" s="209" t="n">
        <x:v>949</x:v>
      </x:c>
      <x:c r="BE32" s="209" t="n">
        <x:v>519</x:v>
      </x:c>
      <x:c r="BF32" t="n">
        <x:v>50</x:v>
      </x:c>
      <x:c r="BG32" s="209" t="n">
        <x:v>1172</x:v>
      </x:c>
      <x:c r="BH32" s="209" t="n">
        <x:v>522</x:v>
      </x:c>
      <x:c r="BI32" s="209" t="n">
        <x:v>526927</x:v>
      </x:c>
      <x:c r="BJ32" s="209" t="n">
        <x:v>22122</x:v>
      </x:c>
      <x:c r="BK32" s="209" t="str">
        <x:v>G</x:v>
      </x:c>
      <x:c r="BL32" s="209" t="n">
        <x:v>16596</x:v>
      </x:c>
      <x:c r="BM32" s="209" t="n">
        <x:v>704</x:v>
      </x:c>
      <x:c r="BN32" s="209" t="str">
        <x:v>G</x:v>
      </x:c>
      <x:c r="BO32" s="209" t="n">
        <x:v>33740</x:v>
      </x:c>
      <x:c r="BP32" s="209" t="n">
        <x:v>2441</x:v>
      </x:c>
      <x:c r="BQ32" s="209" t="str">
        <x:v>G</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direct_site_features</x:v>
      </x:c>
      <x:c r="AP33" s="207" t="n">
        <x:v>1.976314023135052</x:v>
      </x:c>
      <x:c r="AQ33" t="str">
        <x:v>C2 Nashville area</x:v>
      </x:c>
      <x:c r="AR33" s="207" t="n">
        <x:v>0.121071942828338</x:v>
      </x:c>
      <x:c r="AS33" s="207" t="n">
        <x:v>0.121071942828338</x:v>
      </x:c>
      <x:c r="AT33" s="207" t="n">
        <x:v>13.534945397120635</x:v>
      </x:c>
      <x:c r="AU33" s="208" t="n">
        <x:v>500</x:v>
      </x:c>
      <x:c r="AV33" s="209" t="n">
        <x:v>1</x:v>
      </x:c>
      <x:c r="AW33" s="207" t="n">
        <x:v>0.1172400237093578</x:v>
      </x:c>
      <x:c r="AX33" s="207" t="n">
        <x:v>0.1172400237093578</x:v>
      </x:c>
      <x:c r="AY33" s="207" t="n">
        <x:v>0.6475982838099955</x:v>
      </x:c>
      <x:c r="AZ33" t="n">
        <x:v>846</x:v>
      </x:c>
      <x:c r="BA33" s="209" t="str">
        <x:v>47037</x:v>
      </x:c>
      <x:c r="BB33" s="209" t="str">
        <x:v>Davidson County</x:v>
      </x:c>
      <x:c r="BC33" t="n">
        <x:v>38</x:v>
      </x:c>
      <x:c r="BD33" s="209" t="n">
        <x:v>949</x:v>
      </x:c>
      <x:c r="BE33" s="209" t="n">
        <x:v>519</x:v>
      </x:c>
      <x:c r="BF33" t="n">
        <x:v>55</x:v>
      </x:c>
      <x:c r="BG33" s="209" t="n">
        <x:v>1623</x:v>
      </x:c>
      <x:c r="BH33" s="209" t="n">
        <x:v>617</x:v>
      </x:c>
      <x:c r="BI33" s="209" t="n">
        <x:v>526927</x:v>
      </x:c>
      <x:c r="BJ33" s="209" t="n">
        <x:v>22122</x:v>
      </x:c>
      <x:c r="BK33" s="209" t="str">
        <x:v>G</x:v>
      </x:c>
      <x:c r="BL33" s="209" t="n">
        <x:v>16596</x:v>
      </x:c>
      <x:c r="BM33" s="209" t="n">
        <x:v>704</x:v>
      </x:c>
      <x:c r="BN33" s="209" t="str">
        <x:v>G</x:v>
      </x:c>
      <x:c r="BO33" s="209" t="n">
        <x:v>33740</x:v>
      </x:c>
      <x:c r="BP33" s="209" t="n">
        <x:v>2441</x:v>
      </x:c>
      <x:c r="BQ33" s="209" t="str">
        <x:v>G</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direct_site_features</x:v>
      </x:c>
      <x:c r="AP34" s="207" t="n">
        <x:v>0.2086854803185778</x:v>
      </x:c>
      <x:c r="AQ34" t="str">
        <x:v>C2 Nashville area</x:v>
      </x:c>
      <x:c r="AR34" s="207" t="n">
        <x:v>0.3316205949751729</x:v>
      </x:c>
      <x:c r="AS34" s="207" t="n">
        <x:v>1.5872554210648755</x:v>
      </x:c>
      <x:c r="AT34" s="207" t="n">
        <x:v>19.647452385720698</x:v>
      </x:c>
      <x:c r="AU34" s="208" t="n">
        <x:v>500</x:v>
      </x:c>
      <x:c r="AV34" s="209" t="n">
        <x:v>1</x:v>
      </x:c>
      <x:c r="AW34" s="207" t="n">
        <x:v>0.2355441969279202</x:v>
      </x:c>
      <x:c r="AX34" s="207" t="n">
        <x:v>1.2137968750288166</x:v>
      </x:c>
      <x:c r="AY34" s="207" t="n">
        <x:v>0.4253171342582417</x:v>
      </x:c>
      <x:c r="AZ34" t="n">
        <x:v>940</x:v>
      </x:c>
      <x:c r="BA34" s="209" t="str">
        <x:v>47037</x:v>
      </x:c>
      <x:c r="BB34" s="209" t="str">
        <x:v>Davidson County</x:v>
      </x:c>
      <x:c r="BC34" t="n">
        <x:v>36</x:v>
      </x:c>
      <x:c r="BD34" s="209" t="n">
        <x:v>750</x:v>
      </x:c>
      <x:c r="BE34" s="209" t="n">
        <x:v>467</x:v>
      </x:c>
      <x:c r="BF34" t="n">
        <x:v>56</x:v>
      </x:c>
      <x:c r="BG34" s="209" t="n">
        <x:v>1609</x:v>
      </x:c>
      <x:c r="BH34" s="209" t="n">
        <x:v>617</x:v>
      </x:c>
      <x:c r="BI34" s="209" t="n">
        <x:v>526927</x:v>
      </x:c>
      <x:c r="BJ34" s="209" t="n">
        <x:v>22122</x:v>
      </x:c>
      <x:c r="BK34" s="209" t="str">
        <x:v>G</x:v>
      </x:c>
      <x:c r="BL34" s="209" t="n">
        <x:v>16596</x:v>
      </x:c>
      <x:c r="BM34" s="209" t="n">
        <x:v>704</x:v>
      </x:c>
      <x:c r="BN34" s="209" t="str">
        <x:v>G</x:v>
      </x:c>
      <x:c r="BO34" s="209" t="n">
        <x:v>33740</x:v>
      </x:c>
      <x:c r="BP34" s="209" t="n">
        <x:v>2441</x:v>
      </x:c>
      <x:c r="BQ34" s="209" t="str">
        <x:v>G</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direct_site_features</x:v>
      </x:c>
      <x:c r="AP35" s="207" t="n">
        <x:v>0.2086854803185778</x:v>
      </x:c>
      <x:c r="AQ35" t="str">
        <x:v>C2 Nashville area</x:v>
      </x:c>
      <x:c r="AR35" s="207" t="n">
        <x:v>0.1640777880258871</x:v>
      </x:c>
      <x:c r="AS35" s="207" t="n">
        <x:v>1.4811008140686903</x:v>
      </x:c>
      <x:c r="AT35" s="207" t="n">
        <x:v>19.542920530071527</x:v>
      </x:c>
      <x:c r="AU35" s="208" t="n">
        <x:v>500</x:v>
      </x:c>
      <x:c r="AV35" s="209" t="n">
        <x:v>1</x:v>
      </x:c>
      <x:c r="AW35" s="207" t="n">
        <x:v>0.1203295080290079</x:v>
      </x:c>
      <x:c r="AX35" s="207" t="n">
        <x:v>1.10915247143415</x:v>
      </x:c>
      <x:c r="AY35" s="207" t="n">
        <x:v>0.2693965447065286</x:v>
      </x:c>
      <x:c r="AZ35" t="n">
        <x:v>934</x:v>
      </x:c>
      <x:c r="BA35" s="209" t="str">
        <x:v>47037</x:v>
      </x:c>
      <x:c r="BB35" s="209" t="str">
        <x:v>Davidson County</x:v>
      </x:c>
      <x:c r="BC35" t="n">
        <x:v>36</x:v>
      </x:c>
      <x:c r="BD35" s="209" t="n">
        <x:v>750</x:v>
      </x:c>
      <x:c r="BE35" s="209" t="n">
        <x:v>467</x:v>
      </x:c>
      <x:c r="BF35" t="n">
        <x:v>56</x:v>
      </x:c>
      <x:c r="BG35" s="209" t="n">
        <x:v>1609</x:v>
      </x:c>
      <x:c r="BH35" s="209" t="n">
        <x:v>617</x:v>
      </x:c>
      <x:c r="BI35" s="209" t="n">
        <x:v>526927</x:v>
      </x:c>
      <x:c r="BJ35" s="209" t="n">
        <x:v>22122</x:v>
      </x:c>
      <x:c r="BK35" s="209" t="str">
        <x:v>G</x:v>
      </x:c>
      <x:c r="BL35" s="209" t="n">
        <x:v>16596</x:v>
      </x:c>
      <x:c r="BM35" s="209" t="n">
        <x:v>704</x:v>
      </x:c>
      <x:c r="BN35" s="209" t="str">
        <x:v>G</x:v>
      </x:c>
      <x:c r="BO35" s="209" t="n">
        <x:v>33740</x:v>
      </x:c>
      <x:c r="BP35" s="209" t="n">
        <x:v>2441</x:v>
      </x:c>
      <x:c r="BQ35" s="209" t="str">
        <x:v>G</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direct_site_features</x:v>
      </x:c>
      <x:c r="AP36" s="207" t="n">
        <x:v>2.3989227738591374</x:v>
      </x:c>
      <x:c r="AQ36" t="str">
        <x:v>C2 Nashville area</x:v>
      </x:c>
      <x:c r="AR36" s="207" t="n">
        <x:v>0.2273852455170062</x:v>
      </x:c>
      <x:c r="AS36" s="207" t="n">
        <x:v>2.113753637504367</x:v>
      </x:c>
      <x:c r="AT36" s="207" t="n">
        <x:v>19.6969167183482</x:v>
      </x:c>
      <x:c r="AU36" s="208" t="n">
        <x:v>500</x:v>
      </x:c>
      <x:c r="AV36" s="209" t="n">
        <x:v>1</x:v>
      </x:c>
      <x:c r="AW36" s="207" t="n">
        <x:v>0.2266622130345049</x:v>
      </x:c>
      <x:c r="AX36" s="207" t="n">
        <x:v>0.747404067564151</x:v>
      </x:c>
      <x:c r="AY36" s="207" t="n">
        <x:v>1.4459045910957635</x:v>
      </x:c>
      <x:c r="AZ36" t="n">
        <x:v>945</x:v>
      </x:c>
      <x:c r="BA36" s="209" t="str">
        <x:v>47037</x:v>
      </x:c>
      <x:c r="BB36" s="209" t="str">
        <x:v>Davidson County</x:v>
      </x:c>
      <x:c r="BC36" t="n">
        <x:v>34</x:v>
      </x:c>
      <x:c r="BD36" s="209" t="n">
        <x:v>665</x:v>
      </x:c>
      <x:c r="BE36" s="209" t="n">
        <x:v>467</x:v>
      </x:c>
      <x:c r="BF36" t="n">
        <x:v>55</x:v>
      </x:c>
      <x:c r="BG36" s="209" t="n">
        <x:v>1667</x:v>
      </x:c>
      <x:c r="BH36" s="209" t="n">
        <x:v>617</x:v>
      </x:c>
      <x:c r="BI36" s="209" t="n">
        <x:v>526927</x:v>
      </x:c>
      <x:c r="BJ36" s="209" t="n">
        <x:v>22122</x:v>
      </x:c>
      <x:c r="BK36" s="209" t="str">
        <x:v>G</x:v>
      </x:c>
      <x:c r="BL36" s="209" t="n">
        <x:v>16596</x:v>
      </x:c>
      <x:c r="BM36" s="209" t="n">
        <x:v>704</x:v>
      </x:c>
      <x:c r="BN36" s="209" t="str">
        <x:v>G</x:v>
      </x:c>
      <x:c r="BO36" s="209" t="n">
        <x:v>33740</x:v>
      </x:c>
      <x:c r="BP36" s="209" t="n">
        <x:v>2441</x:v>
      </x:c>
      <x:c r="BQ36" s="209" t="str">
        <x:v>G</x:v>
      </x:c>
    </x:row>
    <x:row r="37" ht="30" hidden="0" customHeight="1">
      <x:c r="A37" s="16" t="str">
        <x:v>TNDC-037</x:v>
      </x:c>
      <x:c r="B37" s="23" t="str">
        <x:v>Level(3) Nashville (Sidco Drive)</x:v>
      </x:c>
      <x:c r="C37" s="23" t="str">
        <x:v>Lumen Technologies Inc</x:v>
      </x:c>
      <x:c r="D37" s="23" t="str">
        <x:v>Lumen Technologies Inc</x:v>
      </x:c>
      <x:c r="E37" s="23" t="str">
        <x:v>2990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 | lumen</x:v>
      </x:c>
      <x:c r="AB37" s="94" t="n">
        <x:v>2</x:v>
      </x:c>
      <x:c r="AC37" s="94" t="n">
        <x:v>2</x:v>
      </x:c>
      <x:c r="AD37" s="23" t="str">
        <x:v>peeringdb:311 | wsmv:nashville-list-sidco | lumen:wavelength-site-list</x:v>
      </x:c>
      <x:c r="AE37" s="23" t="str">
        <x:v>http://www.level3.com | https://www.wsmv.com/2026/06/04/how-many-data-centers-are-there-nashville-heres-map-where-theyre-located/ | https://assets.lumen.com/is/content/Lumen/waves-rapid-routes-site-list</x:v>
      </x:c>
      <x:c r="AF37" s="128" t="str">
        <x:v>2026-09-07</x:v>
      </x:c>
      <x:c r="AG37" s="85" t="str">
        <x:v>confirmed</x:v>
      </x:c>
      <x:c r="AH37" s="85" t="str">
        <x:v>identified</x:v>
      </x:c>
      <x:c r="AI37" s="96" t="n">
        <x:v>2</x:v>
      </x:c>
      <x:c r="AJ37" s="86" t="b">
        <x:v>1</x:v>
      </x:c>
      <x:c r="AK37" s="96" t="n">
        <x:v>91</x:v>
      </x:c>
      <x:c r="AL37" s="85" t="str">
        <x:v>high</x:v>
      </x:c>
      <x:c r="AM37" s="85" t="str">
        <x:v>Canonical current address is 2990 Sidco Drive from Lumen's current route list. PeeringDB's 2992 Sidco Drive is retained as an adjacent legacy-directory discrepancy; the site point remains address_or_site rather than parcel-verified.</x:v>
      </x:c>
      <x:c r="AN37" s="85" t="str">
        <x:v>1.1</x:v>
      </x:c>
      <x:c r="AO37" s="85" t="str">
        <x:v>direct_site_features</x:v>
      </x:c>
      <x:c r="AP37" s="207" t="n">
        <x:v>1.5634296886992427</x:v>
      </x:c>
      <x:c r="AQ37" t="str">
        <x:v>C2 Nashville area</x:v>
      </x:c>
      <x:c r="AR37" s="207" t="n">
        <x:v>0.0719328320559844</x:v>
      </x:c>
      <x:c r="AS37" s="207" t="n">
        <x:v>0.0719328320559844</x:v>
      </x:c>
      <x:c r="AT37" s="207" t="n">
        <x:v>12.79322332420262</x:v>
      </x:c>
      <x:c r="AU37" s="208" t="n">
        <x:v>500</x:v>
      </x:c>
      <x:c r="AV37" s="209" t="n">
        <x:v>1</x:v>
      </x:c>
      <x:c r="AW37" s="207" t="n">
        <x:v>0.8043017565536495</x:v>
      </x:c>
      <x:c r="AX37" s="207" t="n">
        <x:v>0.8043017565536495</x:v>
      </x:c>
      <x:c r="AY37" s="207" t="n">
        <x:v>1.042069394443569</x:v>
      </x:c>
      <x:c r="AZ37" t="n">
        <x:v>902</x:v>
      </x:c>
      <x:c r="BA37" s="209" t="str">
        <x:v>47037</x:v>
      </x:c>
      <x:c r="BB37" s="209" t="str">
        <x:v>Davidson County</x:v>
      </x:c>
      <x:c r="BC37" t="n">
        <x:v>38</x:v>
      </x:c>
      <x:c r="BD37" s="209" t="n">
        <x:v>949</x:v>
      </x:c>
      <x:c r="BE37" s="209" t="n">
        <x:v>519</x:v>
      </x:c>
      <x:c r="BF37" t="n">
        <x:v>51</x:v>
      </x:c>
      <x:c r="BG37" s="209" t="n">
        <x:v>1172</x:v>
      </x:c>
      <x:c r="BH37" s="209" t="n">
        <x:v>522</x:v>
      </x:c>
      <x:c r="BI37" s="209" t="n">
        <x:v>526927</x:v>
      </x:c>
      <x:c r="BJ37" s="209" t="n">
        <x:v>22122</x:v>
      </x:c>
      <x:c r="BK37" s="209" t="str">
        <x:v>G</x:v>
      </x:c>
      <x:c r="BL37" s="209" t="n">
        <x:v>16596</x:v>
      </x:c>
      <x:c r="BM37" s="209" t="n">
        <x:v>704</x:v>
      </x:c>
      <x:c r="BN37" s="209" t="str">
        <x:v>G</x:v>
      </x:c>
      <x:c r="BO37" s="209" t="n">
        <x:v>33740</x:v>
      </x:c>
      <x:c r="BP37" s="209" t="n">
        <x:v>2441</x:v>
      </x:c>
      <x:c r="BQ37" s="209" t="str">
        <x:v>G</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direct_site_features</x:v>
      </x:c>
      <x:c r="AP38" s="207" t="n">
        <x:v>5.053066150501399</x:v>
      </x:c>
      <x:c r="AQ38" t="str">
        <x:v>C2 Nashville area</x:v>
      </x:c>
      <x:c r="AR38" s="207" t="n">
        <x:v>0.0707119478126202</x:v>
      </x:c>
      <x:c r="AS38" s="207" t="n">
        <x:v>1.0205936549853298</x:v>
      </x:c>
      <x:c r="AT38" s="207" t="n">
        <x:v>8.266680964276182</x:v>
      </x:c>
      <x:c r="AU38" s="208" t="n">
        <x:v>500</x:v>
      </x:c>
      <x:c r="AV38" s="209" t="n">
        <x:v>1</x:v>
      </x:c>
      <x:c r="AW38" s="207" t="n">
        <x:v>0.101192712090354</x:v>
      </x:c>
      <x:c r="AX38" s="207" t="n">
        <x:v>3.367226120148101</x:v>
      </x:c>
      <x:c r="AY38" s="207" t="n">
        <x:v>0.216468617040965</x:v>
      </x:c>
      <x:c r="AZ38" t="n">
        <x:v>809</x:v>
      </x:c>
      <x:c r="BA38" s="209" t="str">
        <x:v>47037</x:v>
      </x:c>
      <x:c r="BB38" s="209" t="str">
        <x:v>Davidson County</x:v>
      </x:c>
      <x:c r="BC38" t="n">
        <x:v>38</x:v>
      </x:c>
      <x:c r="BD38" s="209" t="n">
        <x:v>949</x:v>
      </x:c>
      <x:c r="BE38" s="209" t="n">
        <x:v>519</x:v>
      </x:c>
      <x:c r="BF38" t="n">
        <x:v>55</x:v>
      </x:c>
      <x:c r="BG38" s="209" t="n">
        <x:v>1623</x:v>
      </x:c>
      <x:c r="BH38" s="209" t="n">
        <x:v>617</x:v>
      </x:c>
      <x:c r="BI38" s="209" t="n">
        <x:v>526927</x:v>
      </x:c>
      <x:c r="BJ38" s="209" t="n">
        <x:v>22122</x:v>
      </x:c>
      <x:c r="BK38" s="209" t="str">
        <x:v>G</x:v>
      </x:c>
      <x:c r="BL38" s="209" t="n">
        <x:v>16596</x:v>
      </x:c>
      <x:c r="BM38" s="209" t="n">
        <x:v>704</x:v>
      </x:c>
      <x:c r="BN38" s="209" t="str">
        <x:v>G</x:v>
      </x:c>
      <x:c r="BO38" s="209" t="n">
        <x:v>33740</x:v>
      </x:c>
      <x:c r="BP38" s="209" t="n">
        <x:v>2441</x:v>
      </x:c>
      <x:c r="BQ38" s="209" t="str">
        <x:v>G</x:v>
      </x:c>
    </x:row>
    <x:row r="39" ht="30" hidden="0" customHeight="1">
      <x:c r="A39" s="16" t="str">
        <x:v>TNDC-039</x:v>
      </x:c>
      <x:c r="B39" s="23" t="str">
        <x:v>Quantum Leap Data Center/ Fisk University</x:v>
      </x:c>
      <x:c r="C39" s="23" t="str"/>
      <x:c r="D39" s="23" t="str">
        <x:v>Fisk University (project sponsor); operating partner not publicly identified</x:v>
      </x:c>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2026-09-07</x:v>
      </x:c>
      <x:c r="AG39" s="85" t="str">
        <x:v>confirmed</x:v>
      </x:c>
      <x:c r="AH39" s="85" t="str">
        <x:v>partner_not_selected_publicly</x:v>
      </x:c>
      <x:c r="AI39" s="96" t="n">
        <x:v>2</x:v>
      </x:c>
      <x:c r="AJ39" s="86" t="b">
        <x:v>1</x:v>
      </x:c>
      <x:c r="AK39" s="96" t="n">
        <x:v>81</x:v>
      </x:c>
      <x:c r="AL39" s="85" t="str">
        <x:v>high</x:v>
      </x:c>
      <x:c r="AM39" s="85" t="str">
        <x:v>Fisk is the landowner and project sponsor. Fisk's August 2026 announcement describes the data-center corporate partner as yet to be determined, so no facility operator is attributed in this field.</x:v>
      </x:c>
      <x:c r="AN39" s="85" t="str">
        <x:v>1.1</x:v>
      </x:c>
      <x:c r="AO39" s="85" t="str">
        <x:v>direct_site_features</x:v>
      </x:c>
      <x:c r="AP39" s="207" t="n">
        <x:v>1.735944713176277</x:v>
      </x:c>
      <x:c r="AQ39" t="str">
        <x:v>C2 Nashville area</x:v>
      </x:c>
      <x:c r="AR39" s="207" t="n">
        <x:v>0.3583329681780802</x:v>
      </x:c>
      <x:c r="AS39" s="207" t="n">
        <x:v>1.2702551176752837</x:v>
      </x:c>
      <x:c r="AT39" s="207" t="n">
        <x:v>19.413290132561848</x:v>
      </x:c>
      <x:c r="AU39" s="208" t="n">
        <x:v>500</x:v>
      </x:c>
      <x:c r="AV39" s="209" t="n">
        <x:v>1</x:v>
      </x:c>
      <x:c r="AW39" s="207" t="n">
        <x:v>0.3489538946991903</x:v>
      </x:c>
      <x:c r="AX39" s="207" t="n">
        <x:v>0.3489538946991903</x:v>
      </x:c>
      <x:c r="AY39" s="207" t="n">
        <x:v>1.3238321098183508</x:v>
      </x:c>
      <x:c r="AZ39" t="n">
        <x:v>963</x:v>
      </x:c>
      <x:c r="BA39" s="209" t="str">
        <x:v>47037</x:v>
      </x:c>
      <x:c r="BB39" s="209" t="str">
        <x:v>Davidson County</x:v>
      </x:c>
      <x:c r="BC39" t="n">
        <x:v>35</x:v>
      </x:c>
      <x:c r="BD39" s="209" t="n">
        <x:v>665</x:v>
      </x:c>
      <x:c r="BE39" s="209" t="n">
        <x:v>467</x:v>
      </x:c>
      <x:c r="BF39" t="n">
        <x:v>55</x:v>
      </x:c>
      <x:c r="BG39" s="209" t="n">
        <x:v>1588</x:v>
      </x:c>
      <x:c r="BH39" s="209" t="n">
        <x:v>617</x:v>
      </x:c>
      <x:c r="BI39" s="209" t="n">
        <x:v>526927</x:v>
      </x:c>
      <x:c r="BJ39" s="209" t="n">
        <x:v>22122</x:v>
      </x:c>
      <x:c r="BK39" s="209" t="str">
        <x:v>G</x:v>
      </x:c>
      <x:c r="BL39" s="209" t="n">
        <x:v>16596</x:v>
      </x:c>
      <x:c r="BM39" s="209" t="n">
        <x:v>704</x:v>
      </x:c>
      <x:c r="BN39" s="209" t="str">
        <x:v>G</x:v>
      </x:c>
      <x:c r="BO39" s="209" t="n">
        <x:v>33740</x:v>
      </x:c>
      <x:c r="BP39" s="209" t="n">
        <x:v>2441</x:v>
      </x:c>
      <x:c r="BQ39" s="209" t="str">
        <x:v>G</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direct_site_features</x:v>
      </x:c>
      <x:c r="AP40" s="207" t="n">
        <x:v>10.252603292630416</x:v>
      </x:c>
      <x:c r="AQ40" t="str">
        <x:v>C2 Nashville area</x:v>
      </x:c>
      <x:c r="AR40" s="207" t="n">
        <x:v>0.9431874961031312</x:v>
      </x:c>
      <x:c r="AS40" s="207" t="n">
        <x:v>0.9431874961031312</x:v>
      </x:c>
      <x:c r="AT40" s="207" t="n">
        <x:v>17.882198943230637</x:v>
      </x:c>
      <x:c r="AU40" s="208" t="n">
        <x:v>500</x:v>
      </x:c>
      <x:c r="AV40" s="209" t="n">
        <x:v>1</x:v>
      </x:c>
      <x:c r="AW40" s="207" t="n">
        <x:v>0.0351958031727906</x:v>
      </x:c>
      <x:c r="AX40" s="207" t="n">
        <x:v>1.3327258192916658</x:v>
      </x:c>
      <x:c r="AY40" s="207" t="n">
        <x:v>0.142918790272357</x:v>
      </x:c>
      <x:c r="AZ40" t="n">
        <x:v>953</x:v>
      </x:c>
      <x:c r="BA40" s="209" t="str">
        <x:v>47037</x:v>
      </x:c>
      <x:c r="BB40" s="209" t="str">
        <x:v>Davidson County</x:v>
      </x:c>
      <x:c r="BC40" t="n">
        <x:v>34</x:v>
      </x:c>
      <x:c r="BD40" s="209" t="n">
        <x:v>665</x:v>
      </x:c>
      <x:c r="BE40" s="209" t="n">
        <x:v>467</x:v>
      </x:c>
      <x:c r="BF40" t="n">
        <x:v>54</x:v>
      </x:c>
      <x:c r="BG40" s="209" t="n">
        <x:v>1667</x:v>
      </x:c>
      <x:c r="BH40" s="209" t="n">
        <x:v>617</x:v>
      </x:c>
      <x:c r="BI40" s="209" t="n">
        <x:v>526927</x:v>
      </x:c>
      <x:c r="BJ40" s="209" t="n">
        <x:v>22122</x:v>
      </x:c>
      <x:c r="BK40" s="209" t="str">
        <x:v>G</x:v>
      </x:c>
      <x:c r="BL40" s="209" t="n">
        <x:v>16596</x:v>
      </x:c>
      <x:c r="BM40" s="209" t="n">
        <x:v>704</x:v>
      </x:c>
      <x:c r="BN40" s="209" t="str">
        <x:v>G</x:v>
      </x:c>
      <x:c r="BO40" s="209" t="n">
        <x:v>33740</x:v>
      </x:c>
      <x:c r="BP40" s="209" t="n">
        <x:v>2441</x:v>
      </x:c>
      <x:c r="BQ40" s="209" t="str">
        <x:v>G</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direct_site_features</x:v>
      </x:c>
      <x:c r="AP41" s="207" t="n">
        <x:v>0.5416832532175047</x:v>
      </x:c>
      <x:c r="AQ41" t="str">
        <x:v>C2 Nashville area</x:v>
      </x:c>
      <x:c r="AR41" s="207" t="n">
        <x:v>0.2114381637319143</x:v>
      </x:c>
      <x:c r="AS41" s="207" t="n">
        <x:v>0.979748508254938</x:v>
      </x:c>
      <x:c r="AT41" s="207" t="n">
        <x:v>19.02158182459572</x:v>
      </x:c>
      <x:c r="AU41" s="208" t="n">
        <x:v>500</x:v>
      </x:c>
      <x:c r="AV41" s="209" t="n">
        <x:v>1</x:v>
      </x:c>
      <x:c r="AW41" s="207" t="n">
        <x:v>0.0221684540655779</x:v>
      </x:c>
      <x:c r="AX41" s="207" t="n">
        <x:v>0.8721446837344404</x:v>
      </x:c>
      <x:c r="AY41" s="207" t="n">
        <x:v>0.3177463534475093</x:v>
      </x:c>
      <x:c r="AZ41" t="n">
        <x:v>922</x:v>
      </x:c>
      <x:c r="BA41" s="209" t="str">
        <x:v>47037</x:v>
      </x:c>
      <x:c r="BB41" s="209" t="str">
        <x:v>Davidson County</x:v>
      </x:c>
      <x:c r="BC41" t="n">
        <x:v>36</x:v>
      </x:c>
      <x:c r="BD41" s="209" t="n">
        <x:v>750</x:v>
      </x:c>
      <x:c r="BE41" s="209" t="n">
        <x:v>467</x:v>
      </x:c>
      <x:c r="BF41" t="n">
        <x:v>56</x:v>
      </x:c>
      <x:c r="BG41" s="209" t="n">
        <x:v>1609</x:v>
      </x:c>
      <x:c r="BH41" s="209" t="n">
        <x:v>617</x:v>
      </x:c>
      <x:c r="BI41" s="209" t="n">
        <x:v>526927</x:v>
      </x:c>
      <x:c r="BJ41" s="209" t="n">
        <x:v>22122</x:v>
      </x:c>
      <x:c r="BK41" s="209" t="str">
        <x:v>G</x:v>
      </x:c>
      <x:c r="BL41" s="209" t="n">
        <x:v>16596</x:v>
      </x:c>
      <x:c r="BM41" s="209" t="n">
        <x:v>704</x:v>
      </x:c>
      <x:c r="BN41" s="209" t="str">
        <x:v>G</x:v>
      </x:c>
      <x:c r="BO41" s="209" t="n">
        <x:v>33740</x:v>
      </x:c>
      <x:c r="BP41" s="209" t="n">
        <x:v>2441</x:v>
      </x:c>
      <x:c r="BQ41" s="209" t="str">
        <x:v>G</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direct_site_features</x:v>
      </x:c>
      <x:c r="AP42" s="207" t="n">
        <x:v>0.919336050690768</x:v>
      </x:c>
      <x:c r="AQ42" t="str">
        <x:v>C2 Nashville area</x:v>
      </x:c>
      <x:c r="AR42" s="207" t="n">
        <x:v>0.7363645579344529</x:v>
      </x:c>
      <x:c r="AS42" s="207" t="n">
        <x:v>1.238191763901084</x:v>
      </x:c>
      <x:c r="AT42" s="207" t="n">
        <x:v>19.042220946222173</x:v>
      </x:c>
      <x:c r="AU42" s="208" t="n">
        <x:v>500</x:v>
      </x:c>
      <x:c r="AV42" s="209" t="n">
        <x:v>1</x:v>
      </x:c>
      <x:c r="AW42" s="207" t="n">
        <x:v>0.2262446919391716</x:v>
      </x:c>
      <x:c r="AX42" s="207" t="n">
        <x:v>0.4932669783149543</x:v>
      </x:c>
      <x:c r="AY42" s="207" t="n">
        <x:v>1.21434260846641</x:v>
      </x:c>
      <x:c r="AZ42" t="n">
        <x:v>944</x:v>
      </x:c>
      <x:c r="BA42" s="209" t="str">
        <x:v>47037</x:v>
      </x:c>
      <x:c r="BB42" s="209" t="str">
        <x:v>Davidson County</x:v>
      </x:c>
      <x:c r="BC42" t="n">
        <x:v>36</x:v>
      </x:c>
      <x:c r="BD42" s="209" t="n">
        <x:v>750</x:v>
      </x:c>
      <x:c r="BE42" s="209" t="n">
        <x:v>467</x:v>
      </x:c>
      <x:c r="BF42" t="n">
        <x:v>56</x:v>
      </x:c>
      <x:c r="BG42" s="209" t="n">
        <x:v>1609</x:v>
      </x:c>
      <x:c r="BH42" s="209" t="n">
        <x:v>617</x:v>
      </x:c>
      <x:c r="BI42" s="209" t="n">
        <x:v>526927</x:v>
      </x:c>
      <x:c r="BJ42" s="209" t="n">
        <x:v>22122</x:v>
      </x:c>
      <x:c r="BK42" s="209" t="str">
        <x:v>G</x:v>
      </x:c>
      <x:c r="BL42" s="209" t="n">
        <x:v>16596</x:v>
      </x:c>
      <x:c r="BM42" s="209" t="n">
        <x:v>704</x:v>
      </x:c>
      <x:c r="BN42" s="209" t="str">
        <x:v>G</x:v>
      </x:c>
      <x:c r="BO42" s="209" t="n">
        <x:v>33740</x:v>
      </x:c>
      <x:c r="BP42" s="209" t="n">
        <x:v>2441</x:v>
      </x:c>
      <x:c r="BQ42" s="209" t="str">
        <x:v>G</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direct_site_features</x:v>
      </x:c>
      <x:c r="AP43" s="207" t="n">
        <x:v>27.74221155274318</x:v>
      </x:c>
      <x:c r="AQ43" t="str">
        <x:v>Noise / isolated</x:v>
      </x:c>
      <x:c r="AR43" s="207" t="n">
        <x:v>2.0152424357641316</x:v>
      </x:c>
      <x:c r="AS43" s="207" t="n">
        <x:v>2.0152424357641316</x:v>
      </x:c>
      <x:c r="AT43" s="207" t="n">
        <x:v>25.06971285347489</x:v>
      </x:c>
      <x:c r="AU43" s="208" t="n">
        <x:v>161</x:v>
      </x:c>
      <x:c r="AV43" s="209" t="n">
        <x:v>2</x:v>
      </x:c>
      <x:c r="AW43" s="207" t="n">
        <x:v>0.5694106398496785</x:v>
      </x:c>
      <x:c r="AX43" s="207" t="n">
        <x:v>43.67052319965182</x:v>
      </x:c>
      <x:c r="AY43" s="207" t="n">
        <x:v>1.849218320891234</x:v>
      </x:c>
      <x:c r="AZ43" t="n">
        <x:v>855</x:v>
      </x:c>
      <x:c r="BA43" s="209" t="str">
        <x:v>47025</x:v>
      </x:c>
      <x:c r="BB43" s="209" t="str">
        <x:v>Claiborne County</x:v>
      </x:c>
      <x:c r="BC43" t="n">
        <x:v>6</x:v>
      </x:c>
      <x:c r="BD43" s="209" t="n">
        <x:v>39</x:v>
      </x:c>
      <x:c r="BE43" s="209" t="n">
        <x:v>0</x:v>
      </x:c>
      <x:c r="BF43" t="n">
        <x:v>26</x:v>
      </x:c>
      <x:c r="BG43" s="209" t="n">
        <x:v>2241</x:v>
      </x:c>
      <x:c r="BH43" s="209" t="n">
        <x:v>996</x:v>
      </x:c>
      <x:c r="BI43" s="209" t="n">
        <x:v>7084</x:v>
      </x:c>
      <x:c r="BJ43" s="209" t="n">
        <x:v>466</x:v>
      </x:c>
      <x:c r="BK43" s="209" t="str">
        <x:v>G</x:v>
      </x:c>
      <x:c r="BL43" s="209" t="n">
        <x:v>38</x:v>
      </x:c>
      <x:c r="BM43" s="209" t="n">
        <x:v>6</x:v>
      </x:c>
      <x:c r="BN43" s="209" t="str">
        <x:v>H</x:v>
      </x:c>
      <x:c r="BO43" s="209" t="n">
        <x:v>129</x:v>
      </x:c>
      <x:c r="BP43" s="209" t="n">
        <x:v>29</x:v>
      </x:c>
      <x:c r="BQ43" s="209" t="str">
        <x:v>G</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direct_site_features</x:v>
      </x:c>
      <x:c r="AP44" s="207" t="n">
        <x:v>7.65235803152038</x:v>
      </x:c>
      <x:c r="AQ44" t="str">
        <x:v>Noise / isolated</x:v>
      </x:c>
      <x:c r="AR44" s="207" t="n">
        <x:v>1.7243463363400615</x:v>
      </x:c>
      <x:c r="AS44" s="207" t="n">
        <x:v>1.7243463363400615</x:v>
      </x:c>
      <x:c r="AT44" s="207" t="n">
        <x:v>51.34799871300031</x:v>
      </x:c>
      <x:c r="AU44" s="208" t="n">
        <x:v>161</x:v>
      </x:c>
      <x:c r="AV44" s="209" t="n">
        <x:v>2</x:v>
      </x:c>
      <x:c r="AW44" s="207" t="n">
        <x:v>0.2027920201141038</x:v>
      </x:c>
      <x:c r="AX44" s="207" t="n">
        <x:v>20.897119695906408</x:v>
      </x:c>
      <x:c r="AY44" s="207" t="n">
        <x:v>0.2302877542446328</x:v>
      </x:c>
      <x:c r="AZ44" t="n">
        <x:v>928</x:v>
      </x:c>
      <x:c r="BA44" s="209" t="str">
        <x:v>47151</x:v>
      </x:c>
      <x:c r="BB44" s="209" t="str">
        <x:v>Scott County</x:v>
      </x:c>
      <x:c r="BC44" t="n">
        <x:v>3</x:v>
      </x:c>
      <x:c r="BD44" s="209" t="n">
        <x:v>1484</x:v>
      </x:c>
      <x:c r="BE44" s="209" t="n">
        <x:v>26</x:v>
      </x:c>
      <x:c r="BF44" t="n">
        <x:v>29</x:v>
      </x:c>
      <x:c r="BG44" s="209" t="n">
        <x:v>2869</x:v>
      </x:c>
      <x:c r="BH44" s="209" t="n">
        <x:v>1335</x:v>
      </x:c>
      <x:c r="BI44" s="209" t="n">
        <x:v>4173</x:v>
      </x:c>
      <x:c r="BJ44" s="209" t="n">
        <x:v>351</x:v>
      </x:c>
      <x:c r="BK44" s="209" t="str">
        <x:v>G</x:v>
      </x:c>
      <x:c r="BL44" s="209" t="n">
        <x:v>49</x:v>
      </x:c>
      <x:c r="BM44" s="209" t="n">
        <x:v>12</x:v>
      </x:c>
      <x:c r="BN44" s="209" t="str">
        <x:v>J</x:v>
      </x:c>
      <x:c r="BO44" s="209" t="n">
        <x:v>35</x:v>
      </x:c>
      <x:c r="BP44" s="209" t="n">
        <x:v>14</x:v>
      </x:c>
      <x:c r="BQ44" s="209" t="str">
        <x:v>G</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direct_site_features</x:v>
      </x:c>
      <x:c r="AP45" s="207" t="n">
        <x:v>7.65235803152038</x:v>
      </x:c>
      <x:c r="AQ45" t="str">
        <x:v>Noise / isolated</x:v>
      </x:c>
      <x:c r="AR45" s="207" t="n">
        <x:v>0.1251214503645664</x:v>
      </x:c>
      <x:c r="AS45" s="207" t="n">
        <x:v>0.1251214503645664</x:v>
      </x:c>
      <x:c r="AT45" s="207" t="n">
        <x:v>43.99028734704144</x:v>
      </x:c>
      <x:c r="AU45" s="208" t="n">
        <x:v>161</x:v>
      </x:c>
      <x:c r="AV45" s="209" t="n">
        <x:v>2</x:v>
      </x:c>
      <x:c r="AW45" s="207" t="n">
        <x:v>0.744571894380068</x:v>
      </x:c>
      <x:c r="AX45" s="207" t="n">
        <x:v>18.88814560524287</x:v>
      </x:c>
      <x:c r="AY45" s="207" t="n">
        <x:v>0.1155601680918731</x:v>
      </x:c>
      <x:c r="AZ45" t="n">
        <x:v>967</x:v>
      </x:c>
      <x:c r="BA45" s="209" t="str">
        <x:v>47151</x:v>
      </x:c>
      <x:c r="BB45" s="209" t="str">
        <x:v>Scott County</x:v>
      </x:c>
      <x:c r="BC45" t="n">
        <x:v>3</x:v>
      </x:c>
      <x:c r="BD45" s="209" t="n">
        <x:v>1484</x:v>
      </x:c>
      <x:c r="BE45" s="209" t="n">
        <x:v>26</x:v>
      </x:c>
      <x:c r="BF45" t="n">
        <x:v>25</x:v>
      </x:c>
      <x:c r="BG45" s="209" t="n">
        <x:v>2746</x:v>
      </x:c>
      <x:c r="BH45" s="209" t="n">
        <x:v>996</x:v>
      </x:c>
      <x:c r="BI45" s="209" t="n">
        <x:v>4173</x:v>
      </x:c>
      <x:c r="BJ45" s="209" t="n">
        <x:v>351</x:v>
      </x:c>
      <x:c r="BK45" s="209" t="str">
        <x:v>G</x:v>
      </x:c>
      <x:c r="BL45" s="209" t="n">
        <x:v>49</x:v>
      </x:c>
      <x:c r="BM45" s="209" t="n">
        <x:v>12</x:v>
      </x:c>
      <x:c r="BN45" s="209" t="str">
        <x:v>J</x:v>
      </x:c>
      <x:c r="BO45" s="209" t="n">
        <x:v>35</x:v>
      </x:c>
      <x:c r="BP45" s="209" t="n">
        <x:v>14</x:v>
      </x:c>
      <x:c r="BQ45" s="209" t="str">
        <x:v>G</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direct_site_features</x:v>
      </x:c>
      <x:c r="AP46" s="207" t="n">
        <x:v>4.917109437996493</x:v>
      </x:c>
      <x:c r="AQ46" t="str">
        <x:v>C4 Knoxville area</x:v>
      </x:c>
      <x:c r="AR46" s="207" t="n">
        <x:v>0.3175809708941679</x:v>
      </x:c>
      <x:c r="AS46" s="207" t="n">
        <x:v>0.3175809708941679</x:v>
      </x:c>
      <x:c r="AT46" s="207" t="n">
        <x:v>11.011105990163353</x:v>
      </x:c>
      <x:c r="AU46" s="208" t="n">
        <x:v>500</x:v>
      </x:c>
      <x:c r="AV46" s="209" t="n">
        <x:v>1</x:v>
      </x:c>
      <x:c r="AW46" s="207" t="n">
        <x:v>0.4505027023461488</x:v>
      </x:c>
      <x:c r="AX46" s="207" t="n">
        <x:v>0.5301486747649652</x:v>
      </x:c>
      <x:c r="AY46" s="207" t="n">
        <x:v>0.2583308641238066</x:v>
      </x:c>
      <x:c r="AZ46" t="n">
        <x:v>1234</x:v>
      </x:c>
      <x:c r="BA46" s="209" t="str">
        <x:v>47105</x:v>
      </x:c>
      <x:c r="BB46" s="209" t="str">
        <x:v>Loudon County</x:v>
      </x:c>
      <x:c r="BC46" t="n">
        <x:v>13</x:v>
      </x:c>
      <x:c r="BD46" s="209" t="n">
        <x:v>390</x:v>
      </x:c>
      <x:c r="BE46" s="209" t="n">
        <x:v>968</x:v>
      </x:c>
      <x:c r="BF46" t="n">
        <x:v>30</x:v>
      </x:c>
      <x:c r="BG46" s="209" t="n">
        <x:v>507</x:v>
      </x:c>
      <x:c r="BH46" s="209" t="n">
        <x:v>978</x:v>
      </x:c>
      <x:c r="BI46" s="209" t="n">
        <x:v>14920</x:v>
      </x:c>
      <x:c r="BJ46" s="209" t="n">
        <x:v>1027</x:v>
      </x:c>
      <x:c r="BK46" s="209" t="str">
        <x:v>G</x:v>
      </x:c>
      <x:c r="BL46" s="209" t="n">
        <x:v>374</x:v>
      </x:c>
      <x:c r="BM46" s="209" t="n">
        <x:v>12</x:v>
      </x:c>
      <x:c r="BN46" s="209" t="str">
        <x:v>J</x:v>
      </x:c>
      <x:c r="BO46" s="209" t="n">
        <x:v>666</x:v>
      </x:c>
      <x:c r="BP46" s="209" t="n">
        <x:v>66</x:v>
      </x:c>
      <x:c r="BQ46" s="209" t="str">
        <x:v>H</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direct_site_features</x:v>
      </x:c>
      <x:c r="AP47" s="207" t="n">
        <x:v>0.992513351398504</x:v>
      </x:c>
      <x:c r="AQ47" t="str">
        <x:v>C4 Knoxville area</x:v>
      </x:c>
      <x:c r="AR47" s="207" t="n">
        <x:v>0.0486728763684856</x:v>
      </x:c>
      <x:c r="AS47" s="207" t="n">
        <x:v>3.7947914042191337</x:v>
      </x:c>
      <x:c r="AT47" s="207" t="n">
        <x:v>14.190962703158428</x:v>
      </x:c>
      <x:c r="AU47" s="208" t="n">
        <x:v>500</x:v>
      </x:c>
      <x:c r="AV47" s="209" t="n">
        <x:v>2</x:v>
      </x:c>
      <x:c r="AW47" s="207" t="n">
        <x:v>0.3630747475924</x:v>
      </x:c>
      <x:c r="AX47" s="207" t="n">
        <x:v>0.7699289531659047</x:v>
      </x:c>
      <x:c r="AY47" s="207" t="n">
        <x:v>0.112354637998837</x:v>
      </x:c>
      <x:c r="AZ47" t="n">
        <x:v>1231</x:v>
      </x:c>
      <x:c r="BA47" s="209" t="str">
        <x:v>47093</x:v>
      </x:c>
      <x:c r="BB47" s="209" t="str">
        <x:v>Knox County</x:v>
      </x:c>
      <x:c r="BC47" t="n">
        <x:v>12</x:v>
      </x:c>
      <x:c r="BD47" s="209" t="n">
        <x:v>395</x:v>
      </x:c>
      <x:c r="BE47" s="209" t="n">
        <x:v>968</x:v>
      </x:c>
      <x:c r="BF47" t="n">
        <x:v>26</x:v>
      </x:c>
      <x:c r="BG47" s="209" t="n">
        <x:v>1967</x:v>
      </x:c>
      <x:c r="BH47" s="209" t="n">
        <x:v>1048</x:v>
      </x:c>
      <x:c r="BI47" s="209" t="n">
        <x:v>242117</x:v>
      </x:c>
      <x:c r="BJ47" s="209" t="n">
        <x:v>12519</x:v>
      </x:c>
      <x:c r="BK47" s="209" t="str">
        <x:v>G</x:v>
      </x:c>
      <x:c r="BL47" s="209" t="n">
        <x:v>4993</x:v>
      </x:c>
      <x:c r="BM47" s="209" t="n">
        <x:v>237</x:v>
      </x:c>
      <x:c r="BN47" s="209" t="str">
        <x:v>G</x:v>
      </x:c>
      <x:c r="BO47" s="209" t="n">
        <x:v>13096</x:v>
      </x:c>
      <x:c r="BP47" s="209" t="n">
        <x:v>1306</x:v>
      </x:c>
      <x:c r="BQ47" s="209" t="str">
        <x:v>G</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direct_site_features</x:v>
      </x:c>
      <x:c r="AP48" s="207" t="n">
        <x:v>1.4454623860169304</x:v>
      </x:c>
      <x:c r="AQ48" t="str">
        <x:v>C4 Knoxville area</x:v>
      </x:c>
      <x:c r="AR48" s="207" t="n">
        <x:v>1.3598517309135123</x:v>
      </x:c>
      <x:c r="AS48" s="207" t="n">
        <x:v>1.378281471825916</x:v>
      </x:c>
      <x:c r="AT48" s="207" t="n">
        <x:v>1.6120211739270764</x:v>
      </x:c>
      <x:c r="AU48" s="208" t="n">
        <x:v>500</x:v>
      </x:c>
      <x:c r="AV48" s="209" t="n">
        <x:v>1</x:v>
      </x:c>
      <x:c r="AW48" s="207" t="n">
        <x:v>1.169009252566629</x:v>
      </x:c>
      <x:c r="AX48" s="207" t="n">
        <x:v>5.338593636801503</x:v>
      </x:c>
      <x:c r="AY48" s="207" t="n">
        <x:v>0.0259528255880626</x:v>
      </x:c>
      <x:c r="AZ48" t="n">
        <x:v>1177</x:v>
      </x:c>
      <x:c r="BA48" s="209" t="str">
        <x:v>47093</x:v>
      </x:c>
      <x:c r="BB48" s="209" t="str">
        <x:v>Knox County</x:v>
      </x:c>
      <x:c r="BC48" t="n">
        <x:v>14</x:v>
      </x:c>
      <x:c r="BD48" s="209" t="n">
        <x:v>404</x:v>
      </x:c>
      <x:c r="BE48" s="209" t="n">
        <x:v>968</x:v>
      </x:c>
      <x:c r="BF48" t="n">
        <x:v>27</x:v>
      </x:c>
      <x:c r="BG48" s="209" t="n">
        <x:v>1928</x:v>
      </x:c>
      <x:c r="BH48" s="209" t="n">
        <x:v>1004</x:v>
      </x:c>
      <x:c r="BI48" s="209" t="n">
        <x:v>242117</x:v>
      </x:c>
      <x:c r="BJ48" s="209" t="n">
        <x:v>12519</x:v>
      </x:c>
      <x:c r="BK48" s="209" t="str">
        <x:v>G</x:v>
      </x:c>
      <x:c r="BL48" s="209" t="n">
        <x:v>4993</x:v>
      </x:c>
      <x:c r="BM48" s="209" t="n">
        <x:v>237</x:v>
      </x:c>
      <x:c r="BN48" s="209" t="str">
        <x:v>G</x:v>
      </x:c>
      <x:c r="BO48" s="209" t="n">
        <x:v>13096</x:v>
      </x:c>
      <x:c r="BP48" s="209" t="n">
        <x:v>1306</x:v>
      </x:c>
      <x:c r="BQ48" s="209" t="str">
        <x:v>G</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direct_site_features</x:v>
      </x:c>
      <x:c r="AP49" s="207" t="n">
        <x:v>1.4454623860169304</x:v>
      </x:c>
      <x:c r="AQ49" t="str">
        <x:v>C4 Knoxville area</x:v>
      </x:c>
      <x:c r="AR49" s="207" t="n">
        <x:v>1.403542243702083</x:v>
      </x:c>
      <x:c r="AS49" s="207" t="n">
        <x:v>1.403542243702083</x:v>
      </x:c>
      <x:c r="AT49" s="207" t="n">
        <x:v>1.403542243702083</x:v>
      </x:c>
      <x:c r="AU49" s="208" t="n">
        <x:v>500</x:v>
      </x:c>
      <x:c r="AV49" s="209" t="n">
        <x:v>2</x:v>
      </x:c>
      <x:c r="AW49" s="207" t="n">
        <x:v>0.1525331462117285</x:v>
      </x:c>
      <x:c r="AX49" s="207" t="n">
        <x:v>4.421398391309641</x:v>
      </x:c>
      <x:c r="AY49" s="207" t="n">
        <x:v>0.1244458600637066</x:v>
      </x:c>
      <x:c r="AZ49" t="n">
        <x:v>1194</x:v>
      </x:c>
      <x:c r="BA49" s="209" t="str">
        <x:v>47093</x:v>
      </x:c>
      <x:c r="BB49" s="209" t="str">
        <x:v>Knox County</x:v>
      </x:c>
      <x:c r="BC49" t="n">
        <x:v>14</x:v>
      </x:c>
      <x:c r="BD49" s="209" t="n">
        <x:v>404</x:v>
      </x:c>
      <x:c r="BE49" s="209" t="n">
        <x:v>968</x:v>
      </x:c>
      <x:c r="BF49" t="n">
        <x:v>28</x:v>
      </x:c>
      <x:c r="BG49" s="209" t="n">
        <x:v>1936</x:v>
      </x:c>
      <x:c r="BH49" s="209" t="n">
        <x:v>1004</x:v>
      </x:c>
      <x:c r="BI49" s="209" t="n">
        <x:v>242117</x:v>
      </x:c>
      <x:c r="BJ49" s="209" t="n">
        <x:v>12519</x:v>
      </x:c>
      <x:c r="BK49" s="209" t="str">
        <x:v>G</x:v>
      </x:c>
      <x:c r="BL49" s="209" t="n">
        <x:v>4993</x:v>
      </x:c>
      <x:c r="BM49" s="209" t="n">
        <x:v>237</x:v>
      </x:c>
      <x:c r="BN49" s="209" t="str">
        <x:v>G</x:v>
      </x:c>
      <x:c r="BO49" s="209" t="n">
        <x:v>13096</x:v>
      </x:c>
      <x:c r="BP49" s="209" t="n">
        <x:v>1306</x:v>
      </x:c>
      <x:c r="BQ49" s="209" t="str">
        <x:v>G</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direct_site_features</x:v>
      </x:c>
      <x:c r="AP50" s="207" t="n">
        <x:v>4.365935265331043</x:v>
      </x:c>
      <x:c r="AQ50" t="str">
        <x:v>Noise / isolated</x:v>
      </x:c>
      <x:c r="AR50" s="207" t="n">
        <x:v>2.8590383758194164</x:v>
      </x:c>
      <x:c r="AS50" s="207" t="n">
        <x:v>2.8590383758194164</x:v>
      </x:c>
      <x:c r="AT50" s="207" t="n">
        <x:v>9.40933125627591</x:v>
      </x:c>
      <x:c r="AU50" s="208" t="n">
        <x:v>500</x:v>
      </x:c>
      <x:c r="AV50" s="209" t="n">
        <x:v>1</x:v>
      </x:c>
      <x:c r="AW50" s="207" t="n">
        <x:v>0.3051082522058725</x:v>
      </x:c>
      <x:c r="AX50" s="207" t="n">
        <x:v>6.10578479026357</x:v>
      </x:c>
      <x:c r="AY50" s="207" t="n">
        <x:v>1.1704272775317783</x:v>
      </x:c>
      <x:c r="AZ50" t="n">
        <x:v>1376</x:v>
      </x:c>
      <x:c r="BA50" s="209" t="str">
        <x:v>47113</x:v>
      </x:c>
      <x:c r="BB50" s="209" t="str">
        <x:v>Madison County</x:v>
      </x:c>
      <x:c r="BC50" t="n">
        <x:v>8</x:v>
      </x:c>
      <x:c r="BD50" s="209" t="n">
        <x:v>90</x:v>
      </x:c>
      <x:c r="BE50" s="209" t="n">
        <x:v>6</x:v>
      </x:c>
      <x:c r="BF50" t="n">
        <x:v>18</x:v>
      </x:c>
      <x:c r="BG50" s="209" t="n">
        <x:v>163</x:v>
      </x:c>
      <x:c r="BH50" s="209" t="n">
        <x:v>28</x:v>
      </x:c>
      <x:c r="BI50" s="209" t="n">
        <x:v>55344</x:v>
      </x:c>
      <x:c r="BJ50" s="209" t="n">
        <x:v>2598</x:v>
      </x:c>
      <x:c r="BK50" s="209" t="str">
        <x:v>G</x:v>
      </x:c>
      <x:c r="BL50" s="209" t="n">
        <x:v>464</x:v>
      </x:c>
      <x:c r="BM50" s="209" t="n">
        <x:v>32</x:v>
      </x:c>
      <x:c r="BN50" s="209" t="str">
        <x:v>H</x:v>
      </x:c>
      <x:c r="BO50" s="209" t="n">
        <x:v>1001</x:v>
      </x:c>
      <x:c r="BP50" s="209" t="n">
        <x:v>139</x:v>
      </x:c>
      <x:c r="BQ50" s="209" t="str">
        <x:v>G</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direct_site_features</x:v>
      </x:c>
      <x:c r="AP51" s="207" t="n">
        <x:v>10.771741932562746</x:v>
      </x:c>
      <x:c r="AQ51" t="str">
        <x:v>C3 Chattanooga area</x:v>
      </x:c>
      <x:c r="AR51" s="207" t="n">
        <x:v>0.3477659403392347</x:v>
      </x:c>
      <x:c r="AS51" s="207" t="n">
        <x:v>0.3477659403392347</x:v>
      </x:c>
      <x:c r="AT51" s="207" t="n">
        <x:v>9.002526174550091</x:v>
      </x:c>
      <x:c r="AU51" s="208" t="n">
        <x:v>500</x:v>
      </x:c>
      <x:c r="AV51" s="209" t="n">
        <x:v>1</x:v>
      </x:c>
      <x:c r="AW51" s="207" t="n">
        <x:v>0.2179821528089125</x:v>
      </x:c>
      <x:c r="AX51" s="207" t="n">
        <x:v>4.440412587403477</x:v>
      </x:c>
      <x:c r="AY51" s="207" t="n">
        <x:v>0.220688502890341</x:v>
      </x:c>
      <x:c r="AZ51" t="n">
        <x:v>1173</x:v>
      </x:c>
      <x:c r="BA51" s="209" t="str">
        <x:v>47065</x:v>
      </x:c>
      <x:c r="BB51" s="209" t="str">
        <x:v>Hamilton County</x:v>
      </x:c>
      <x:c r="BC51" t="n">
        <x:v>16</x:v>
      </x:c>
      <x:c r="BD51" s="209" t="n">
        <x:v>313</x:v>
      </x:c>
      <x:c r="BE51" s="209" t="n">
        <x:v>161</x:v>
      </x:c>
      <x:c r="BF51" t="n">
        <x:v>27</x:v>
      </x:c>
      <x:c r="BG51" s="209" t="n">
        <x:v>529</x:v>
      </x:c>
      <x:c r="BH51" s="209" t="n">
        <x:v>162</x:v>
      </x:c>
      <x:c r="BI51" s="209" t="n">
        <x:v>205761</x:v>
      </x:c>
      <x:c r="BJ51" s="209" t="n">
        <x:v>9883</x:v>
      </x:c>
      <x:c r="BK51" s="209" t="str">
        <x:v>G</x:v>
      </x:c>
      <x:c r="BL51" s="209" t="n">
        <x:v>3565</x:v>
      </x:c>
      <x:c r="BM51" s="209" t="n">
        <x:v>174</x:v>
      </x:c>
      <x:c r="BN51" s="209" t="str">
        <x:v>G</x:v>
      </x:c>
      <x:c r="BO51" s="209" t="n">
        <x:v>10146</x:v>
      </x:c>
      <x:c r="BP51" s="209" t="n">
        <x:v>937</x:v>
      </x:c>
      <x:c r="BQ51" s="209" t="str">
        <x:v>G</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direct_site_features</x:v>
      </x:c>
      <x:c r="AP52" s="207" t="n">
        <x:v>17.477420413451394</x:v>
      </x:c>
      <x:c r="AQ52" t="str">
        <x:v>Noise / isolated</x:v>
      </x:c>
      <x:c r="AR52" s="207" t="n">
        <x:v>1.7083487826864354</x:v>
      </x:c>
      <x:c r="AS52" s="207" t="n">
        <x:v>1.7083487826864354</x:v>
      </x:c>
      <x:c r="AT52" s="207" t="n">
        <x:v>17.320638167725356</x:v>
      </x:c>
      <x:c r="AU52" s="208" t="n">
        <x:v>500</x:v>
      </x:c>
      <x:c r="AV52" s="209" t="n">
        <x:v>1</x:v>
      </x:c>
      <x:c r="AW52" s="207" t="n">
        <x:v>0.1272572601694827</x:v>
      </x:c>
      <x:c r="AX52" s="207" t="n">
        <x:v>2.646802318868086</x:v>
      </x:c>
      <x:c r="AY52" s="207" t="n">
        <x:v>0.4438700880493592</x:v>
      </x:c>
      <x:c r="AZ52" t="n">
        <x:v>664</x:v>
      </x:c>
      <x:c r="BA52" s="209" t="str">
        <x:v>47149</x:v>
      </x:c>
      <x:c r="BB52" s="209" t="str">
        <x:v>Rutherford County</x:v>
      </x:c>
      <x:c r="BC52" t="n">
        <x:v>28</x:v>
      </x:c>
      <x:c r="BD52" s="209" t="n">
        <x:v>759</x:v>
      </x:c>
      <x:c r="BE52" s="209" t="n">
        <x:v>458</x:v>
      </x:c>
      <x:c r="BF52" t="n">
        <x:v>53</x:v>
      </x:c>
      <x:c r="BG52" s="209" t="n">
        <x:v>1215</x:v>
      </x:c>
      <x:c r="BH52" s="209" t="n">
        <x:v>858</x:v>
      </x:c>
      <x:c r="BI52" s="209" t="n">
        <x:v>128935</x:v>
      </x:c>
      <x:c r="BJ52" s="209" t="n">
        <x:v>6285</x:v>
      </x:c>
      <x:c r="BK52" s="209" t="str">
        <x:v>G</x:v>
      </x:c>
      <x:c r="BL52" s="209" t="n">
        <x:v>897</x:v>
      </x:c>
      <x:c r="BM52" s="209" t="n">
        <x:v>93</x:v>
      </x:c>
      <x:c r="BN52" s="209" t="str">
        <x:v>H</x:v>
      </x:c>
      <x:c r="BO52" s="209" t="n">
        <x:v>5057</x:v>
      </x:c>
      <x:c r="BP52" s="209" t="n">
        <x:v>441</x:v>
      </x:c>
      <x:c r="BQ52" s="209" t="str">
        <x:v>G</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direct_site_features</x:v>
      </x:c>
      <x:c r="AP53" s="207" t="n">
        <x:v>7.201622189296421</x:v>
      </x:c>
      <x:c r="AQ53" t="str">
        <x:v>C2 Nashville area</x:v>
      </x:c>
      <x:c r="AR53" s="207" t="n">
        <x:v>1.8279218635089325</x:v>
      </x:c>
      <x:c r="AS53" s="207" t="n">
        <x:v>1.8279218635089325</x:v>
      </x:c>
      <x:c r="AT53" s="207" t="n">
        <x:v>6.530205327468523</x:v>
      </x:c>
      <x:c r="AU53" s="208" t="n">
        <x:v>500</x:v>
      </x:c>
      <x:c r="AV53" s="209" t="n">
        <x:v>1</x:v>
      </x:c>
      <x:c r="AW53" s="207" t="n">
        <x:v>0.169894974354871</x:v>
      </x:c>
      <x:c r="AX53" s="207" t="n">
        <x:v>2.076589381175805</x:v>
      </x:c>
      <x:c r="AY53" s="207" t="n">
        <x:v>0.0755279788635552</x:v>
      </x:c>
      <x:c r="AZ53" t="n">
        <x:v>991</x:v>
      </x:c>
      <x:c r="BA53" s="209" t="str">
        <x:v>47187</x:v>
      </x:c>
      <x:c r="BB53" s="209" t="str">
        <x:v>Williamson County</x:v>
      </x:c>
      <x:c r="BC53" t="n">
        <x:v>38</x:v>
      </x:c>
      <x:c r="BD53" s="209" t="n">
        <x:v>949</x:v>
      </x:c>
      <x:c r="BE53" s="209" t="n">
        <x:v>519</x:v>
      </x:c>
      <x:c r="BF53" t="n">
        <x:v>51</x:v>
      </x:c>
      <x:c r="BG53" s="209" t="n">
        <x:v>1188</x:v>
      </x:c>
      <x:c r="BH53" s="209" t="n">
        <x:v>522</x:v>
      </x:c>
      <x:c r="BI53" s="209" t="n">
        <x:v>149544</x:v>
      </x:c>
      <x:c r="BJ53" s="209" t="n">
        <x:v>8707</x:v>
      </x:c>
      <x:c r="BK53" s="209" t="str">
        <x:v>G</x:v>
      </x:c>
      <x:c r="BL53" s="209" t="n">
        <x:v>4817</x:v>
      </x:c>
      <x:c r="BM53" s="209" t="n">
        <x:v>293</x:v>
      </x:c>
      <x:c r="BN53" s="209" t="str">
        <x:v>H</x:v>
      </x:c>
      <x:c r="BO53" s="209" t="n">
        <x:v>12710</x:v>
      </x:c>
      <x:c r="BP53" s="209" t="n">
        <x:v>1322</x:v>
      </x:c>
      <x:c r="BQ53" s="209" t="str">
        <x:v>G</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direct_site_features</x:v>
      </x:c>
      <x:c r="AP54" s="207" t="n">
        <x:v>1.976314023135052</x:v>
      </x:c>
      <x:c r="AQ54" t="str">
        <x:v>C2 Nashville area</x:v>
      </x:c>
      <x:c r="AR54" s="207" t="n">
        <x:v>0.5359714148150394</x:v>
      </x:c>
      <x:c r="AS54" s="207" t="n">
        <x:v>0.5359714148150394</x:v>
      </x:c>
      <x:c r="AT54" s="207" t="n">
        <x:v>12.30715632663763</x:v>
      </x:c>
      <x:c r="AU54" s="208" t="n">
        <x:v>500</x:v>
      </x:c>
      <x:c r="AV54" s="209" t="n">
        <x:v>1</x:v>
      </x:c>
      <x:c r="AW54" s="207" t="n">
        <x:v>0.5647373518848544</x:v>
      </x:c>
      <x:c r="AX54" s="207" t="n">
        <x:v>0.5647373518848544</x:v>
      </x:c>
      <x:c r="AY54" s="207" t="n">
        <x:v>0.1422154514615573</x:v>
      </x:c>
      <x:c r="AZ54" t="n">
        <x:v>853</x:v>
      </x:c>
      <x:c r="BA54" s="209" t="str">
        <x:v>47037</x:v>
      </x:c>
      <x:c r="BB54" s="209" t="str">
        <x:v>Davidson County</x:v>
      </x:c>
      <x:c r="BC54" t="n">
        <x:v>38</x:v>
      </x:c>
      <x:c r="BD54" s="209" t="n">
        <x:v>949</x:v>
      </x:c>
      <x:c r="BE54" s="209" t="n">
        <x:v>519</x:v>
      </x:c>
      <x:c r="BF54" t="n">
        <x:v>55</x:v>
      </x:c>
      <x:c r="BG54" s="209" t="n">
        <x:v>1623</x:v>
      </x:c>
      <x:c r="BH54" s="209" t="n">
        <x:v>617</x:v>
      </x:c>
      <x:c r="BI54" s="209" t="n">
        <x:v>526927</x:v>
      </x:c>
      <x:c r="BJ54" s="209" t="n">
        <x:v>22122</x:v>
      </x:c>
      <x:c r="BK54" s="209" t="str">
        <x:v>G</x:v>
      </x:c>
      <x:c r="BL54" s="209" t="n">
        <x:v>16596</x:v>
      </x:c>
      <x:c r="BM54" s="209" t="n">
        <x:v>704</x:v>
      </x:c>
      <x:c r="BN54" s="209" t="str">
        <x:v>G</x:v>
      </x:c>
      <x:c r="BO54" s="209" t="n">
        <x:v>33740</x:v>
      </x:c>
      <x:c r="BP54" s="209" t="n">
        <x:v>2441</x:v>
      </x:c>
      <x:c r="BQ54" s="209" t="str">
        <x:v>G</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direct_site_features</x:v>
      </x:c>
      <x:c r="AP55" s="207" t="n">
        <x:v>1.510841476707156</x:v>
      </x:c>
      <x:c r="AQ55" t="str">
        <x:v>C2 Nashville area</x:v>
      </x:c>
      <x:c r="AR55" s="207" t="n">
        <x:v>0.6092041304101868</x:v>
      </x:c>
      <x:c r="AS55" s="207" t="n">
        <x:v>0.6092041304101868</x:v>
      </x:c>
      <x:c r="AT55" s="207" t="n">
        <x:v>14.781532831661425</x:v>
      </x:c>
      <x:c r="AU55" s="208" t="n">
        <x:v>500</x:v>
      </x:c>
      <x:c r="AV55" s="209" t="n">
        <x:v>1</x:v>
      </x:c>
      <x:c r="AW55" s="207" t="n">
        <x:v>0.0294158088330879</x:v>
      </x:c>
      <x:c r="AX55" s="207" t="n">
        <x:v>0.0294158088330879</x:v>
      </x:c>
      <x:c r="AY55" s="207" t="n">
        <x:v>0.8057133630999617</x:v>
      </x:c>
      <x:c r="AZ55" t="n">
        <x:v>911</x:v>
      </x:c>
      <x:c r="BA55" s="209" t="str">
        <x:v>47037</x:v>
      </x:c>
      <x:c r="BB55" s="209" t="str">
        <x:v>Davidson County</x:v>
      </x:c>
      <x:c r="BC55" t="n">
        <x:v>38</x:v>
      </x:c>
      <x:c r="BD55" s="209" t="n">
        <x:v>949</x:v>
      </x:c>
      <x:c r="BE55" s="209" t="n">
        <x:v>519</x:v>
      </x:c>
      <x:c r="BF55" t="n">
        <x:v>55</x:v>
      </x:c>
      <x:c r="BG55" s="209" t="n">
        <x:v>1609</x:v>
      </x:c>
      <x:c r="BH55" s="209" t="n">
        <x:v>617</x:v>
      </x:c>
      <x:c r="BI55" s="209" t="n">
        <x:v>526927</x:v>
      </x:c>
      <x:c r="BJ55" s="209" t="n">
        <x:v>22122</x:v>
      </x:c>
      <x:c r="BK55" s="209" t="str">
        <x:v>G</x:v>
      </x:c>
      <x:c r="BL55" s="209" t="n">
        <x:v>16596</x:v>
      </x:c>
      <x:c r="BM55" s="209" t="n">
        <x:v>704</x:v>
      </x:c>
      <x:c r="BN55" s="209" t="str">
        <x:v>G</x:v>
      </x:c>
      <x:c r="BO55" s="209" t="n">
        <x:v>33740</x:v>
      </x:c>
      <x:c r="BP55" s="209" t="n">
        <x:v>2441</x:v>
      </x:c>
      <x:c r="BQ55" s="209" t="str">
        <x:v>G</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direct_site_features</x:v>
      </x:c>
      <x:c r="AP56" s="207" t="n">
        <x:v>1.510841476707156</x:v>
      </x:c>
      <x:c r="AQ56" t="str">
        <x:v>C2 Nashville area</x:v>
      </x:c>
      <x:c r="AR56" s="207" t="n">
        <x:v>0.2987076008641238</x:v>
      </x:c>
      <x:c r="AS56" s="207" t="n">
        <x:v>0.2987076008641238</x:v>
      </x:c>
      <x:c r="AT56" s="207" t="n">
        <x:v>15.577122714327889</x:v>
      </x:c>
      <x:c r="AU56" s="208" t="n">
        <x:v>500</x:v>
      </x:c>
      <x:c r="AV56" s="209" t="n">
        <x:v>1</x:v>
      </x:c>
      <x:c r="AW56" s="207" t="n">
        <x:v>0.224520073306856</x:v>
      </x:c>
      <x:c r="AX56" s="207" t="n">
        <x:v>0.9650322224514756</x:v>
      </x:c>
      <x:c r="AY56" s="207" t="n">
        <x:v>0.6129462036681714</x:v>
      </x:c>
      <x:c r="AZ56" t="n">
        <x:v>900</x:v>
      </x:c>
      <x:c r="BA56" s="209" t="str">
        <x:v>47037</x:v>
      </x:c>
      <x:c r="BB56" s="209" t="str">
        <x:v>Davidson County</x:v>
      </x:c>
      <x:c r="BC56" t="n">
        <x:v>38</x:v>
      </x:c>
      <x:c r="BD56" s="209" t="n">
        <x:v>949</x:v>
      </x:c>
      <x:c r="BE56" s="209" t="n">
        <x:v>519</x:v>
      </x:c>
      <x:c r="BF56" t="n">
        <x:v>55</x:v>
      </x:c>
      <x:c r="BG56" s="209" t="n">
        <x:v>1609</x:v>
      </x:c>
      <x:c r="BH56" s="209" t="n">
        <x:v>617</x:v>
      </x:c>
      <x:c r="BI56" s="209" t="n">
        <x:v>526927</x:v>
      </x:c>
      <x:c r="BJ56" s="209" t="n">
        <x:v>22122</x:v>
      </x:c>
      <x:c r="BK56" s="209" t="str">
        <x:v>G</x:v>
      </x:c>
      <x:c r="BL56" s="209" t="n">
        <x:v>16596</x:v>
      </x:c>
      <x:c r="BM56" s="209" t="n">
        <x:v>704</x:v>
      </x:c>
      <x:c r="BN56" s="209" t="str">
        <x:v>G</x:v>
      </x:c>
      <x:c r="BO56" s="209" t="n">
        <x:v>33740</x:v>
      </x:c>
      <x:c r="BP56" s="209" t="n">
        <x:v>2441</x:v>
      </x:c>
      <x:c r="BQ56" s="209" t="str">
        <x:v>G</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direct_site_features</x:v>
      </x:c>
      <x:c r="AP57" s="207" t="n">
        <x:v>0.536086088636087</x:v>
      </x:c>
      <x:c r="AQ57" t="str">
        <x:v>C1 Memphis area</x:v>
      </x:c>
      <x:c r="AR57" s="207" t="n">
        <x:v>0.2021176968700708</x:v>
      </x:c>
      <x:c r="AS57" s="207" t="n">
        <x:v>0.2021176968700708</x:v>
      </x:c>
      <x:c r="AT57" s="207" t="n">
        <x:v>5.958812171188375</x:v>
      </x:c>
      <x:c r="AU57" s="208" t="n">
        <x:v>500</x:v>
      </x:c>
      <x:c r="AV57" s="209" t="n">
        <x:v>3</x:v>
      </x:c>
      <x:c r="AW57" s="207" t="n">
        <x:v>0.1674602325282303</x:v>
      </x:c>
      <x:c r="AX57" s="207" t="n">
        <x:v>2.111826646225866</x:v>
      </x:c>
      <x:c r="AY57" s="207" t="n">
        <x:v>0.5067458598584822</x:v>
      </x:c>
      <x:c r="AZ57" t="n">
        <x:v>1359</x:v>
      </x:c>
      <x:c r="BA57" s="209" t="str">
        <x:v>47157</x:v>
      </x:c>
      <x:c r="BB57" s="209" t="str">
        <x:v>Shelby County</x:v>
      </x:c>
      <x:c r="BC57" t="n">
        <x:v>27</x:v>
      </x:c>
      <x:c r="BD57" s="209" t="n">
        <x:v>956</x:v>
      </x:c>
      <x:c r="BE57" s="209" t="n">
        <x:v>286</x:v>
      </x:c>
      <x:c r="BF57" t="n">
        <x:v>35</x:v>
      </x:c>
      <x:c r="BG57" s="209" t="n">
        <x:v>1204</x:v>
      </x:c>
      <x:c r="BH57" s="209" t="n">
        <x:v>481</x:v>
      </x:c>
      <x:c r="BI57" s="209" t="n">
        <x:v>446048</x:v>
      </x:c>
      <x:c r="BJ57" s="209" t="n">
        <x:v>19359</x:v>
      </x:c>
      <x:c r="BK57" s="209" t="str">
        <x:v>G</x:v>
      </x:c>
      <x:c r="BL57" s="209" t="n">
        <x:v>4823</x:v>
      </x:c>
      <x:c r="BM57" s="209" t="n">
        <x:v>318</x:v>
      </x:c>
      <x:c r="BN57" s="209" t="str">
        <x:v>G</x:v>
      </x:c>
      <x:c r="BO57" s="209" t="n">
        <x:v>20108</x:v>
      </x:c>
      <x:c r="BP57" s="209" t="n">
        <x:v>1599</x:v>
      </x:c>
      <x:c r="BQ57" s="209" t="str">
        <x:v>G</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direct_site_features</x:v>
      </x:c>
      <x:c r="AP58" s="207" t="n">
        <x:v>0.3454071544348475</x:v>
      </x:c>
      <x:c r="AQ58" t="str">
        <x:v>C1 Memphis area</x:v>
      </x:c>
      <x:c r="AR58" s="207" t="n">
        <x:v>0.6310822975962274</x:v>
      </x:c>
      <x:c r="AS58" s="207" t="n">
        <x:v>3.437632206786213</x:v>
      </x:c>
      <x:c r="AT58" s="207" t="n">
        <x:v>3.437632206786213</x:v>
      </x:c>
      <x:c r="AU58" s="208" t="n">
        <x:v>500</x:v>
      </x:c>
      <x:c r="AV58" s="209" t="n">
        <x:v>2</x:v>
      </x:c>
      <x:c r="AW58" s="207" t="n">
        <x:v>2.353354596410896</x:v>
      </x:c>
      <x:c r="AX58" s="207" t="n">
        <x:v>4.514833120388392</x:v>
      </x:c>
      <x:c r="AY58" s="207" t="n">
        <x:v>0.0972216616329214</x:v>
      </x:c>
      <x:c r="AZ58" t="n">
        <x:v>1250</x:v>
      </x:c>
      <x:c r="BA58" s="209" t="str">
        <x:v>47157</x:v>
      </x:c>
      <x:c r="BB58" s="209" t="str">
        <x:v>Shelby County</x:v>
      </x:c>
      <x:c r="BC58" t="n">
        <x:v>29</x:v>
      </x:c>
      <x:c r="BD58" s="209" t="n">
        <x:v>1106</x:v>
      </x:c>
      <x:c r="BE58" s="209" t="n">
        <x:v>296</x:v>
      </x:c>
      <x:c r="BF58" t="n">
        <x:v>35</x:v>
      </x:c>
      <x:c r="BG58" s="209" t="n">
        <x:v>1204</x:v>
      </x:c>
      <x:c r="BH58" s="209" t="n">
        <x:v>481</x:v>
      </x:c>
      <x:c r="BI58" s="209" t="n">
        <x:v>446048</x:v>
      </x:c>
      <x:c r="BJ58" s="209" t="n">
        <x:v>19359</x:v>
      </x:c>
      <x:c r="BK58" s="209" t="str">
        <x:v>G</x:v>
      </x:c>
      <x:c r="BL58" s="209" t="n">
        <x:v>4823</x:v>
      </x:c>
      <x:c r="BM58" s="209" t="n">
        <x:v>318</x:v>
      </x:c>
      <x:c r="BN58" s="209" t="str">
        <x:v>G</x:v>
      </x:c>
      <x:c r="BO58" s="209" t="n">
        <x:v>20108</x:v>
      </x:c>
      <x:c r="BP58" s="209" t="n">
        <x:v>1599</x:v>
      </x:c>
      <x:c r="BQ58" s="209" t="str">
        <x:v>G</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2026-09-07</x:v>
      </x:c>
      <x:c r="AG59" s="85" t="str">
        <x:v>confirmed</x:v>
      </x:c>
      <x:c r="AH59" s="85" t="str">
        <x:v>identified</x:v>
      </x:c>
      <x:c r="AI59" s="85" t="n">
        <x:v>7</x:v>
      </x:c>
      <x:c r="AJ59" s="86" t="b">
        <x:v>1</x:v>
      </x:c>
      <x:c r="AK59" s="85" t="n">
        <x:v>82</x:v>
      </x:c>
      <x:c r="AL59" s="85" t="str">
        <x:v>medium</x:v>
      </x:c>
      <x:c r="AM59" s="85" t="str">
        <x:v>Retain 4280 Getwell Rd as the facility-facing address supported by the current facility directory and the existing distance-derived site point. Shelby County's 4300 Getwell Rd notice is retained as related broader-site permit/property evidence, not silently substituted as the facility address.</x:v>
      </x:c>
      <x:c r="AN59" t="str">
        <x:v>1.1</x:v>
      </x:c>
      <x:c r="AO59" t="str">
        <x:v>direct_site_features</x:v>
      </x:c>
      <x:c r="AP59" s="207" t="n">
        <x:v>0.6115269873530994</x:v>
      </x:c>
      <x:c r="AQ59" t="str">
        <x:v>C1 Memphis area</x:v>
      </x:c>
      <x:c r="AR59" s="207" t="n">
        <x:v>0.8973628978282975</x:v>
      </x:c>
      <x:c r="AS59" s="207" t="n">
        <x:v>4.027798856933369</x:v>
      </x:c>
      <x:c r="AT59" s="207" t="n">
        <x:v>4.027798856933369</x:v>
      </x:c>
      <x:c r="AU59" s="208" t="n">
        <x:v>500</x:v>
      </x:c>
      <x:c r="AV59" s="209" t="n">
        <x:v>3</x:v>
      </x:c>
      <x:c r="AW59" s="207" t="n">
        <x:v>0.1258764639860509</x:v>
      </x:c>
      <x:c r="AX59" s="207" t="n">
        <x:v>5.205206220710836</x:v>
      </x:c>
      <x:c r="AY59" s="207" t="n">
        <x:v>0.2826489190682394</x:v>
      </x:c>
      <x:c r="AZ59" t="n">
        <x:v>1192</x:v>
      </x:c>
      <x:c r="BA59" s="209" t="str">
        <x:v>47157</x:v>
      </x:c>
      <x:c r="BB59" s="209" t="str">
        <x:v>Shelby County</x:v>
      </x:c>
      <x:c r="BC59" t="n">
        <x:v>28</x:v>
      </x:c>
      <x:c r="BD59" s="209" t="n">
        <x:v>1103</x:v>
      </x:c>
      <x:c r="BE59" s="209" t="n">
        <x:v>296</x:v>
      </x:c>
      <x:c r="BF59" t="n">
        <x:v>35</x:v>
      </x:c>
      <x:c r="BG59" s="209" t="n">
        <x:v>1204</x:v>
      </x:c>
      <x:c r="BH59" s="209" t="n">
        <x:v>481</x:v>
      </x:c>
      <x:c r="BI59" s="209" t="n">
        <x:v>446048</x:v>
      </x:c>
      <x:c r="BJ59" s="209" t="n">
        <x:v>19359</x:v>
      </x:c>
      <x:c r="BK59" s="209" t="str">
        <x:v>G</x:v>
      </x:c>
      <x:c r="BL59" s="209" t="n">
        <x:v>4823</x:v>
      </x:c>
      <x:c r="BM59" s="209" t="n">
        <x:v>318</x:v>
      </x:c>
      <x:c r="BN59" s="209" t="str">
        <x:v>G</x:v>
      </x:c>
      <x:c r="BO59" s="209" t="n">
        <x:v>20108</x:v>
      </x:c>
      <x:c r="BP59" s="209" t="n">
        <x:v>1599</x:v>
      </x:c>
      <x:c r="BQ59" s="209" t="str">
        <x:v>G</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direct_site_features</x:v>
      </x:c>
      <x:c r="AP60" s="207" t="n">
        <x:v>6.183699762877351</x:v>
      </x:c>
      <x:c r="AQ60" t="str">
        <x:v>C1 Memphis area</x:v>
      </x:c>
      <x:c r="AR60" s="207" t="n">
        <x:v>1.3226434909323577</x:v>
      </x:c>
      <x:c r="AS60" s="207" t="n">
        <x:v>1.3226434909323577</x:v>
      </x:c>
      <x:c r="AT60" s="207" t="n">
        <x:v>7.118945210680754</x:v>
      </x:c>
      <x:c r="AU60" s="208" t="n">
        <x:v>500</x:v>
      </x:c>
      <x:c r="AV60" s="209" t="n">
        <x:v>3</x:v>
      </x:c>
      <x:c r="AW60" s="207" t="n">
        <x:v>0.3797875155960548</x:v>
      </x:c>
      <x:c r="AX60" s="207" t="n">
        <x:v>0.3797875155960548</x:v>
      </x:c>
      <x:c r="AY60" s="207" t="n">
        <x:v>0.8328101602034235</x:v>
      </x:c>
      <x:c r="AZ60" t="n">
        <x:v>1423</x:v>
      </x:c>
      <x:c r="BA60" s="209" t="str">
        <x:v>47157</x:v>
      </x:c>
      <x:c r="BB60" s="209" t="str">
        <x:v>Shelby County</x:v>
      </x:c>
      <x:c r="BC60" t="n">
        <x:v>27</x:v>
      </x:c>
      <x:c r="BD60" s="209" t="n">
        <x:v>956</x:v>
      </x:c>
      <x:c r="BE60" s="209" t="n">
        <x:v>286</x:v>
      </x:c>
      <x:c r="BF60" t="n">
        <x:v>36</x:v>
      </x:c>
      <x:c r="BG60" s="209" t="n">
        <x:v>1235</x:v>
      </x:c>
      <x:c r="BH60" s="209" t="n">
        <x:v>481</x:v>
      </x:c>
      <x:c r="BI60" s="209" t="n">
        <x:v>446048</x:v>
      </x:c>
      <x:c r="BJ60" s="209" t="n">
        <x:v>19359</x:v>
      </x:c>
      <x:c r="BK60" s="209" t="str">
        <x:v>G</x:v>
      </x:c>
      <x:c r="BL60" s="209" t="n">
        <x:v>4823</x:v>
      </x:c>
      <x:c r="BM60" s="209" t="n">
        <x:v>318</x:v>
      </x:c>
      <x:c r="BN60" s="209" t="str">
        <x:v>G</x:v>
      </x:c>
      <x:c r="BO60" s="209" t="n">
        <x:v>20108</x:v>
      </x:c>
      <x:c r="BP60" s="209" t="n">
        <x:v>1599</x:v>
      </x:c>
      <x:c r="BQ60" s="209" t="str">
        <x:v>G</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direct_site_features</x:v>
      </x:c>
      <x:c r="AP61" s="207" t="n">
        <x:v>23.739097663615286</x:v>
      </x:c>
      <x:c r="AQ61" t="str">
        <x:v>Noise / isolated</x:v>
      </x:c>
      <x:c r="AR61" s="207" t="n">
        <x:v>4.485592853711683</x:v>
      </x:c>
      <x:c r="AS61" s="207" t="n">
        <x:v>7.9269330290775875</x:v>
      </x:c>
      <x:c r="AT61" s="207" t="n">
        <x:v>16.95648787706169</x:v>
      </x:c>
      <x:c r="AU61" s="208" t="n">
        <x:v>500</x:v>
      </x:c>
      <x:c r="AV61" s="209" t="n">
        <x:v>1</x:v>
      </x:c>
      <x:c r="AW61" s="207" t="n">
        <x:v>0.6314902866766976</x:v>
      </x:c>
      <x:c r="AX61" s="207" t="n">
        <x:v>20.670084890856504</x:v>
      </x:c>
      <x:c r="AY61" s="207" t="n">
        <x:v>0.3366153606477722</x:v>
      </x:c>
      <x:c r="AZ61" t="n">
        <x:v>1459</x:v>
      </x:c>
      <x:c r="BA61" s="209" t="str">
        <x:v>47053</x:v>
      </x:c>
      <x:c r="BB61" s="209" t="str">
        <x:v>Gibson County</x:v>
      </x:c>
      <x:c r="BC61" t="n">
        <x:v>9</x:v>
      </x:c>
      <x:c r="BD61" s="209" t="n">
        <x:v>116</x:v>
      </x:c>
      <x:c r="BE61" s="209" t="n">
        <x:v>5</x:v>
      </x:c>
      <x:c r="BF61" t="n">
        <x:v>16</x:v>
      </x:c>
      <x:c r="BG61" s="209" t="n">
        <x:v>193</x:v>
      </x:c>
      <x:c r="BH61" s="209" t="n">
        <x:v>28</x:v>
      </x:c>
      <x:c r="BI61" s="209" t="n">
        <x:v>12656</x:v>
      </x:c>
      <x:c r="BJ61" s="209" t="n">
        <x:v>951</x:v>
      </x:c>
      <x:c r="BK61" s="209" t="str">
        <x:v>G</x:v>
      </x:c>
      <x:c r="BL61" s="209" t="n">
        <x:v>173</x:v>
      </x:c>
      <x:c r="BM61" s="209" t="n">
        <x:v>20</x:v>
      </x:c>
      <x:c r="BN61" s="209" t="str">
        <x:v>G</x:v>
      </x:c>
      <x:c r="BO61" s="209" t="n">
        <x:v>192</x:v>
      </x:c>
      <x:c r="BP61" s="209" t="n">
        <x:v>41</x:v>
      </x:c>
      <x:c r="BQ61" s="209" t="str">
        <x:v>H</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direct_site_features</x:v>
      </x:c>
      <x:c r="AP62" s="207" t="n">
        <x:v>37.94409711967336</x:v>
      </x:c>
      <x:c r="AQ62" t="str">
        <x:v>Noise / isolated</x:v>
      </x:c>
      <x:c r="AR62" s="207" t="n">
        <x:v>0.4012387576353779</x:v>
      </x:c>
      <x:c r="AS62" s="207" t="n">
        <x:v>3.116653456205808</x:v>
      </x:c>
      <x:c r="AT62" s="207" t="n">
        <x:v>6.207202653955594</x:v>
      </x:c>
      <x:c r="AU62" s="208" t="n">
        <x:v>500</x:v>
      </x:c>
      <x:c r="AV62" s="209" t="n">
        <x:v>3</x:v>
      </x:c>
      <x:c r="AW62" s="207" t="n">
        <x:v>0.1535730440308025</x:v>
      </x:c>
      <x:c r="AX62" s="207" t="n">
        <x:v>5.356146431785924</x:v>
      </x:c>
      <x:c r="AY62" s="207" t="n">
        <x:v>0.2212782102181217</x:v>
      </x:c>
      <x:c r="AZ62" t="n">
        <x:v>1148</x:v>
      </x:c>
      <x:c r="BA62" s="209" t="str">
        <x:v>47163</x:v>
      </x:c>
      <x:c r="BB62" s="209" t="str">
        <x:v>Sullivan County</x:v>
      </x:c>
      <x:c r="BC62" t="n">
        <x:v>10</x:v>
      </x:c>
      <x:c r="BD62" s="209" t="n">
        <x:v>243</x:v>
      </x:c>
      <x:c r="BE62" s="209" t="n">
        <x:v>25</x:v>
      </x:c>
      <x:c r="BF62" t="n">
        <x:v>23</x:v>
      </x:c>
      <x:c r="BG62" s="209" t="n">
        <x:v>501</x:v>
      </x:c>
      <x:c r="BH62" s="209" t="n">
        <x:v>46</x:v>
      </x:c>
      <x:c r="BI62" s="209" t="n">
        <x:v>60008</x:v>
      </x:c>
      <x:c r="BJ62" s="209" t="n">
        <x:v>3382</x:v>
      </x:c>
      <x:c r="BK62" s="209" t="str">
        <x:v>G</x:v>
      </x:c>
      <x:c r="BL62" s="209" t="n">
        <x:v>625</x:v>
      </x:c>
      <x:c r="BM62" s="209" t="n">
        <x:v>43</x:v>
      </x:c>
      <x:c r="BN62" s="209" t="str">
        <x:v>G</x:v>
      </x:c>
      <x:c r="BO62" s="209" t="n">
        <x:v>1436</x:v>
      </x:c>
      <x:c r="BP62" s="209" t="n">
        <x:v>240</x:v>
      </x:c>
      <x:c r="BQ62" s="209" t="str">
        <x:v>G</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e95a139c1903423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8dc61433c7f5436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13159f9452744b7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v>xAI confirms a South Memphis Colossus facility but the generic Compute Atlas source lacks a campus identifier. Do not merge it into Colossus 1 or Colossus 2 without source-specific evidence.</x:v>
      </x:c>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v>xAI confirms a South Memphis Colossus facility but the generic Compute Atlas source lacks a campus identifier. Do not merge it into Colossus 1 or Colossus 2 without source-specific evidence.</x:v>
      </x:c>
    </x:row>
  </x:sheetData>
  <x:pageMargins left="0.7" right="0.7" top="0.75" bottom="0.75" header="0.3" footer="0.3"/>
  <x:tableParts count="1">
    <x:tablePart xmlns:r="http://schemas.openxmlformats.org/officeDocument/2006/relationships" r:id="Rfd5a0bfeaa8e476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7e4a0a7040164ae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5364e476327c4262"/>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 min="21" max="21" width="23" hidden="0" customWidth="1"/>
    <x:col min="22" max="22" width="21" hidden="0" customWidth="1"/>
    <x:col min="23" max="23" width="18" hidden="0" customWidth="1"/>
    <x:col min="24" max="24" width="26" hidden="0" customWidth="1"/>
    <x:col min="25" max="25" width="28" hidden="0" customWidth="1"/>
    <x:col min="26" max="26" width="28" hidden="0" customWidth="1"/>
    <x:col min="27" max="27" width="28" hidden="0" customWidth="1"/>
    <x:col min="28" max="28" width="31" hidden="0" customWidth="1"/>
    <x:col min="29" max="29" width="20" hidden="0" customWidth="1"/>
    <x:col min="30" max="30" width="20" hidden="0" customWidth="1"/>
    <x:col min="31" max="31" width="32" hidden="0" customWidth="1"/>
    <x:col min="32" max="32" width="29" hidden="0" customWidth="1"/>
    <x:col min="33" max="33" width="18" hidden="0" customWidth="1"/>
    <x:col min="34" max="34" width="18" hidden="0" customWidth="1"/>
    <x:col min="35" max="35" width="26" hidden="0" customWidth="1"/>
    <x:col min="36" max="36" width="24" hidden="0" customWidth="1"/>
    <x:col min="37" max="37" width="24" hidden="0" customWidth="1"/>
    <x:col min="38" max="38" width="27" hidden="0" customWidth="1"/>
    <x:col min="39" max="39" width="25" hidden="0" customWidth="1"/>
    <x:col min="40" max="40" width="25" hidden="0" customWidth="1"/>
    <x:col min="41" max="41" width="25" hidden="0" customWidth="1"/>
    <x:col min="42" max="42" width="29" hidden="0" customWidth="1"/>
    <x:col min="43" max="43" width="30" hidden="0" customWidth="1"/>
    <x:col min="44" max="44" width="31" hidden="0" customWidth="1"/>
    <x:col min="45" max="45" width="34" hidden="0" customWidth="1"/>
    <x:col min="46" max="46" width="34" hidden="0" customWidth="1"/>
    <x:col min="47" max="47" width="34" hidden="0" customWidth="1"/>
    <x:col min="48" max="48" width="34" hidden="0" customWidth="1"/>
    <x:col min="49" max="49" width="34" hidden="0" customWidth="1"/>
  </x:cols>
  <x:sheetData>
    <x:row r="1" ht="58" customHeight="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c r="U1" s="217" t="str">
        <x:v>phase1_feature_status</x:v>
      </x:c>
      <x:c r="V1" s="221" t="str">
        <x:v>nearest_neighbor_km</x:v>
      </x:c>
      <x:c r="W1" s="217" t="str">
        <x:v>cluster</x:v>
      </x:c>
      <x:c r="X1" s="221" t="str">
        <x:v>dist_transmission_any_km</x:v>
      </x:c>
      <x:c r="Y1" s="221" t="str">
        <x:v>dist_transmission_100kv_km</x:v>
      </x:c>
      <x:c r="Z1" s="221" t="str">
        <x:v>dist_transmission_230kv_km</x:v>
      </x:c>
      <x:c r="AA1" s="223" t="str">
        <x:v>max_voltage_within_25km_kv</x:v>
      </x:c>
      <x:c r="AB1" s="225" t="str">
        <x:v>transmission_owner_count_25km</x:v>
      </x:c>
      <x:c r="AC1" s="221" t="str">
        <x:v>dist_major_road_km</x:v>
      </x:c>
      <x:c r="AD1" s="221" t="str">
        <x:v>dist_interstate_km</x:v>
      </x:c>
      <x:c r="AE1" s="221" t="str">
        <x:v>dist_surface_water_flowline_km</x:v>
      </x:c>
      <x:c r="AF1" s="217" t="str">
        <x:v>named_flowlines_within_25km</x:v>
      </x:c>
      <x:c r="AG1" s="225" t="str">
        <x:v>county_geoid</x:v>
      </x:c>
      <x:c r="AH1" s="225" t="str">
        <x:v>county_name</x:v>
      </x:c>
      <x:c r="AI1" s="217" t="str">
        <x:v>degree_institutions_50km</x:v>
      </x:c>
      <x:c r="AJ1" s="225" t="str">
        <x:v>cip11_completions_50km</x:v>
      </x:c>
      <x:c r="AK1" s="225" t="str">
        <x:v>cip14_completions_50km</x:v>
      </x:c>
      <x:c r="AL1" s="217" t="str">
        <x:v>degree_institutions_100km</x:v>
      </x:c>
      <x:c r="AM1" s="225" t="str">
        <x:v>cip11_completions_100km</x:v>
      </x:c>
      <x:c r="AN1" s="225" t="str">
        <x:v>cip14_completions_100km</x:v>
      </x:c>
      <x:c r="AO1" s="225" t="str">
        <x:v>county_total_employment</x:v>
      </x:c>
      <x:c r="AP1" s="225" t="str">
        <x:v>county_total_establishments</x:v>
      </x:c>
      <x:c r="AQ1" s="225" t="str">
        <x:v>county_total_employment_flag</x:v>
      </x:c>
      <x:c r="AR1" s="225" t="str">
        <x:v>information_sector_employment</x:v>
      </x:c>
      <x:c r="AS1" s="225" t="str">
        <x:v>information_sector_establishments</x:v>
      </x:c>
      <x:c r="AT1" s="225" t="str">
        <x:v>information_sector_employment_flag</x:v>
      </x:c>
      <x:c r="AU1" s="225" t="str">
        <x:v>professional_scientific_employment</x:v>
      </x:c>
      <x:c r="AV1" s="225" t="str">
        <x:v>professional_scientific_establishments</x:v>
      </x:c>
      <x:c r="AW1" s="225" t="str">
        <x:v>professional_scientific_employment_flag</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c r="U2" s="220" t="str">
        <x:v>direct_site_features</x:v>
      </x:c>
      <x:c r="V2" s="222" t="n">
        <x:v>5.78964157802513</x:v>
      </x:c>
      <x:c r="W2" s="220" t="str">
        <x:v>Candidate / not clustered</x:v>
      </x:c>
      <x:c r="X2" s="222" t="n">
        <x:v>0.727876698880174</x:v>
      </x:c>
      <x:c r="Y2" s="222" t="n">
        <x:v>0.727876698880174</x:v>
      </x:c>
      <x:c r="Z2" s="222" t="n">
        <x:v>3.0289104348453164</x:v>
      </x:c>
      <x:c r="AA2" s="224" t="n">
        <x:v>500</x:v>
      </x:c>
      <x:c r="AB2" s="226" t="n">
        <x:v>1</x:v>
      </x:c>
      <x:c r="AC2" s="222" t="n">
        <x:v>0.8453788175536231</x:v>
      </x:c>
      <x:c r="AD2" s="222" t="n">
        <x:v>9.874727384733562</x:v>
      </x:c>
      <x:c r="AE2" s="222" t="n">
        <x:v>0.1881877868202608</x:v>
      </x:c>
      <x:c r="AF2" s="219" t="n">
        <x:v>1292</x:v>
      </x:c>
      <x:c r="AG2" s="226" t="str">
        <x:v>47145</x:v>
      </x:c>
      <x:c r="AH2" s="229" t="str">
        <x:v>Roane County</x:v>
      </x:c>
      <x:c r="AI2" s="219" t="n">
        <x:v>13</x:v>
      </x:c>
      <x:c r="AJ2" s="226" t="n">
        <x:v>404</x:v>
      </x:c>
      <x:c r="AK2" s="226" t="n">
        <x:v>968</x:v>
      </x:c>
      <x:c r="AL2" s="219" t="n">
        <x:v>28</x:v>
      </x:c>
      <x:c r="AM2" s="226" t="n">
        <x:v>1944</x:v>
      </x:c>
      <x:c r="AN2" s="226" t="n">
        <x:v>1004</x:v>
      </x:c>
      <x:c r="AO2" s="226" t="n">
        <x:v>8996</x:v>
      </x:c>
      <x:c r="AP2" s="226" t="n">
        <x:v>769</x:v>
      </x:c>
      <x:c r="AQ2" s="226" t="str">
        <x:v>G</x:v>
      </x:c>
      <x:c r="AR2" s="226" t="n">
        <x:v>49</x:v>
      </x:c>
      <x:c r="AS2" s="226" t="n">
        <x:v>12</x:v>
      </x:c>
      <x:c r="AT2" s="226" t="str">
        <x:v>J</x:v>
      </x:c>
      <x:c r="AU2" s="226" t="n">
        <x:v>306</x:v>
      </x:c>
      <x:c r="AV2" s="226" t="n">
        <x:v>54</x:v>
      </x:c>
      <x:c r="AW2" s="226" t="str">
        <x:v>H</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c r="U3" s="220" t="str">
        <x:v>direct_site_features</x:v>
      </x:c>
      <x:c r="V3" s="222" t="n">
        <x:v>3.5164351630750597</x:v>
      </x:c>
      <x:c r="W3" s="220" t="str">
        <x:v>Candidate / not clustered</x:v>
      </x:c>
      <x:c r="X3" s="222" t="n">
        <x:v>1.6481279770076562</x:v>
      </x:c>
      <x:c r="Y3" s="222" t="n">
        <x:v>3.297720169273466</x:v>
      </x:c>
      <x:c r="Z3" s="222" t="n">
        <x:v>4.469931485485613</x:v>
      </x:c>
      <x:c r="AA3" s="224" t="n">
        <x:v>500</x:v>
      </x:c>
      <x:c r="AB3" s="226" t="n">
        <x:v>2</x:v>
      </x:c>
      <x:c r="AC3" s="222" t="n">
        <x:v>0.3964070865213985</x:v>
      </x:c>
      <x:c r="AD3" s="222" t="n">
        <x:v>1.7405329422292104</x:v>
      </x:c>
      <x:c r="AE3" s="222" t="n">
        <x:v>0.4096250977179209</x:v>
      </x:c>
      <x:c r="AF3" s="219" t="n">
        <x:v>1181</x:v>
      </x:c>
      <x:c r="AG3" s="226" t="str">
        <x:v>47093</x:v>
      </x:c>
      <x:c r="AH3" s="229" t="str">
        <x:v>Knox County</x:v>
      </x:c>
      <x:c r="AI3" s="219" t="n">
        <x:v>14</x:v>
      </x:c>
      <x:c r="AJ3" s="226" t="n">
        <x:v>404</x:v>
      </x:c>
      <x:c r="AK3" s="226" t="n">
        <x:v>968</x:v>
      </x:c>
      <x:c r="AL3" s="219" t="n">
        <x:v>28</x:v>
      </x:c>
      <x:c r="AM3" s="226" t="n">
        <x:v>1936</x:v>
      </x:c>
      <x:c r="AN3" s="226" t="n">
        <x:v>1004</x:v>
      </x:c>
      <x:c r="AO3" s="226" t="n">
        <x:v>242117</x:v>
      </x:c>
      <x:c r="AP3" s="226" t="n">
        <x:v>12519</x:v>
      </x:c>
      <x:c r="AQ3" s="226" t="str">
        <x:v>G</x:v>
      </x:c>
      <x:c r="AR3" s="226" t="n">
        <x:v>4993</x:v>
      </x:c>
      <x:c r="AS3" s="226" t="n">
        <x:v>237</x:v>
      </x:c>
      <x:c r="AT3" s="226" t="str">
        <x:v>G</x:v>
      </x:c>
      <x:c r="AU3" s="226" t="n">
        <x:v>13096</x:v>
      </x:c>
      <x:c r="AV3" s="226" t="n">
        <x:v>1306</x:v>
      </x:c>
      <x:c r="AW3" s="226" t="str">
        <x:v>G</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c r="U4" s="220" t="str">
        <x:v>direct_site_features</x:v>
      </x:c>
      <x:c r="V4" s="222" t="n">
        <x:v>3.955851792529339</x:v>
      </x:c>
      <x:c r="W4" s="220" t="str">
        <x:v>Candidate / not clustered</x:v>
      </x:c>
      <x:c r="X4" s="222" t="n">
        <x:v>0.2627499312143647</x:v>
      </x:c>
      <x:c r="Y4" s="222" t="n">
        <x:v>0.2627499312143647</x:v>
      </x:c>
      <x:c r="Z4" s="222" t="n">
        <x:v>4.118275281834532</x:v>
      </x:c>
      <x:c r="AA4" s="224" t="n">
        <x:v>500</x:v>
      </x:c>
      <x:c r="AB4" s="226" t="n">
        <x:v>1</x:v>
      </x:c>
      <x:c r="AC4" s="222" t="n">
        <x:v>0.9883617984953896</x:v>
      </x:c>
      <x:c r="AD4" s="222" t="n">
        <x:v>0.9983755164533524</x:v>
      </x:c>
      <x:c r="AE4" s="222" t="n">
        <x:v>0.539529096114026</x:v>
      </x:c>
      <x:c r="AF4" s="219" t="n">
        <x:v>1380</x:v>
      </x:c>
      <x:c r="AG4" s="226" t="str">
        <x:v>47113</x:v>
      </x:c>
      <x:c r="AH4" s="229" t="str">
        <x:v>Madison County</x:v>
      </x:c>
      <x:c r="AI4" s="219" t="n">
        <x:v>8</x:v>
      </x:c>
      <x:c r="AJ4" s="226" t="n">
        <x:v>90</x:v>
      </x:c>
      <x:c r="AK4" s="226" t="n">
        <x:v>6</x:v>
      </x:c>
      <x:c r="AL4" s="219" t="n">
        <x:v>16</x:v>
      </x:c>
      <x:c r="AM4" s="226" t="n">
        <x:v>163</x:v>
      </x:c>
      <x:c r="AN4" s="226" t="n">
        <x:v>28</x:v>
      </x:c>
      <x:c r="AO4" s="226" t="n">
        <x:v>55344</x:v>
      </x:c>
      <x:c r="AP4" s="226" t="n">
        <x:v>2598</x:v>
      </x:c>
      <x:c r="AQ4" s="226" t="str">
        <x:v>G</x:v>
      </x:c>
      <x:c r="AR4" s="226" t="n">
        <x:v>464</x:v>
      </x:c>
      <x:c r="AS4" s="226" t="n">
        <x:v>32</x:v>
      </x:c>
      <x:c r="AT4" s="226" t="str">
        <x:v>H</x:v>
      </x:c>
      <x:c r="AU4" s="226" t="n">
        <x:v>1001</x:v>
      </x:c>
      <x:c r="AV4" s="226" t="n">
        <x:v>139</x:v>
      </x:c>
      <x:c r="AW4" s="226" t="str">
        <x:v>G</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t="str">
        <x:v>38301</x:v>
      </x:c>
      <x:c r="K5" s="117" t="n">
        <x:v>35.636798360652</x:v>
      </x:c>
      <x:c r="L5" s="117" t="n">
        <x:v>-88.774694703444</x:v>
      </x:c>
      <x:c r="M5" s="85" t="str">
        <x:v>GRIID announced a 60 MW, 15-acre Jackson facility; CleanSpark later acquired GRIID, but a current site-level construction or operating confirmation was not found.</x:v>
      </x:c>
      <x:c r="N5" s="85" t="str">
        <x:v>globenewswire.com | prnewswire.com | sec.gov | census_geocoder</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 | https://geocoding.geo.census.gov/geocoder/geographies/onelineaddress?address=2342%20North%20Parkway%20East%2C%20Jackson%2C%20TN&amp;benchmark=Public_AR_Current&amp;vintage=Current_Current&amp;format=json</x:v>
      </x:c>
      <x:c r="P5" s="123" t="str">
        <x:v>2026-09-08</x:v>
      </x:c>
      <x:c r="Q5" s="85" t="str">
        <x:v>The U.S. Census Geocoder returned a unique match for 2342 N Pkwy E, Jackson, TN 38301. Coordinates are a TIGER address-range interpolation rather than a parcel centroid; Phase 1 spatial features are calculated from this address point.</x:v>
      </x:c>
      <x:c r="R5" s="85" t="str">
        <x:v>address_or_site</x:v>
      </x:c>
      <x:c r="S5" s="85" t="str">
        <x:v>high</x:v>
      </x:c>
      <x:c r="T5" s="85" t="str">
        <x:v>https://geocoding.geo.census.gov/geocoder/geographies/onelineaddress?address=2342%20North%20Parkway%20East%2C%20Jackson%2C%20TN&amp;benchmark=Public_AR_Current&amp;vintage=Current_Current&amp;format=json</x:v>
      </x:c>
      <x:c r="U5" s="220" t="str">
        <x:v>address_geocoded_features</x:v>
      </x:c>
      <x:c r="V5" s="222" t="n">
        <x:v>3.955851792529339</x:v>
      </x:c>
      <x:c r="W5" s="220" t="str">
        <x:v>Candidate / not clustered</x:v>
      </x:c>
      <x:c r="X5" s="222" t="n">
        <x:v>0.5514369863831382</x:v>
      </x:c>
      <x:c r="Y5" s="222" t="n">
        <x:v>0.5514369863831382</x:v>
      </x:c>
      <x:c r="Z5" s="222" t="n">
        <x:v>7.388416684508857</x:v>
      </x:c>
      <x:c r="AA5" s="224" t="n">
        <x:v>500</x:v>
      </x:c>
      <x:c r="AB5" s="226" t="n">
        <x:v>1</x:v>
      </x:c>
      <x:c r="AC5" s="222" t="n">
        <x:v>0.5958501531253004</x:v>
      </x:c>
      <x:c r="AD5" s="222" t="n">
        <x:v>4.677277966293714</x:v>
      </x:c>
      <x:c r="AE5" s="222" t="n">
        <x:v>0.5983824548535115</x:v>
      </x:c>
      <x:c r="AF5" s="219" t="n">
        <x:v>1395</x:v>
      </x:c>
      <x:c r="AG5" s="226" t="str">
        <x:v>47113</x:v>
      </x:c>
      <x:c r="AH5" s="229" t="str">
        <x:v>Madison County</x:v>
      </x:c>
      <x:c r="AI5" s="219" t="n">
        <x:v>8</x:v>
      </x:c>
      <x:c r="AJ5" s="226" t="n">
        <x:v>90</x:v>
      </x:c>
      <x:c r="AK5" s="226" t="n">
        <x:v>6</x:v>
      </x:c>
      <x:c r="AL5" s="219" t="n">
        <x:v>17</x:v>
      </x:c>
      <x:c r="AM5" s="226" t="n">
        <x:v>163</x:v>
      </x:c>
      <x:c r="AN5" s="226" t="n">
        <x:v>28</x:v>
      </x:c>
      <x:c r="AO5" s="226" t="n">
        <x:v>55344</x:v>
      </x:c>
      <x:c r="AP5" s="226" t="n">
        <x:v>2598</x:v>
      </x:c>
      <x:c r="AQ5" s="226" t="str">
        <x:v>G</x:v>
      </x:c>
      <x:c r="AR5" s="226" t="n">
        <x:v>464</x:v>
      </x:c>
      <x:c r="AS5" s="226" t="n">
        <x:v>32</x:v>
      </x:c>
      <x:c r="AT5" s="226" t="str">
        <x:v>H</x:v>
      </x:c>
      <x:c r="AU5" s="226" t="n">
        <x:v>1001</x:v>
      </x:c>
      <x:c r="AV5" s="226" t="n">
        <x:v>139</x:v>
      </x:c>
      <x:c r="AW5" s="226" t="str">
        <x:v>G</x:v>
      </x:c>
    </x:row>
    <x:row r="6">
      <x:c r="A6" t="str">
        <x:v>TNCAND-006</x:v>
      </x:c>
      <x:c r="B6"/>
      <x:c r="C6" t="str">
        <x:v>Atmosphere Nashville 120 MW Campus</x:v>
      </x:c>
      <x:c r="D6" t="str">
        <x:v>proposed_data_center_campus</x:v>
      </x:c>
      <x:c r="E6" t="str">
        <x:v>medium</x:v>
      </x:c>
      <x:c r="F6"/>
      <x:c r="G6" t="str">
        <x:v>Nashville</x:v>
      </x:c>
      <x:c r="H6" t="str">
        <x:v>Davidson</x:v>
      </x:c>
      <x:c r="I6" t="str">
        <x:v>TN</x:v>
      </x:c>
      <x:c r="J6"/>
      <x:c r="K6" t="n">
        <x:v>36.1721781</x:v>
      </x:c>
      <x:c r="L6" t="n">
        <x:v>-86.7846022</x:v>
      </x:c>
      <x:c r="M6" s="85" t="str">
        <x:v>Developer materials describe a 120 MW, 38-acre Nashville campus in development, but the exact site and county are not public.</x:v>
      </x:c>
      <x:c r="N6" s="85" t="str">
        <x:v>atmosphere-dc.com | datacenterdynamics.com | census_tigerweb_place</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 | https://tigerweb.geo.census.gov/tigerwebmain/Files/bas26/tigerweb_bas26_incplace_2020_tab20_tn.html</x:v>
      </x:c>
      <x:c r="P6" s="123" t="str">
        <x:v>2026-09-08</x:v>
      </x:c>
      <x:c r="Q6" s="85" t="str">
        <x:v>The exact Atmosphere parcel remains undisclosed. Coordinates use the official Census TIGERweb representative point for Nashville-Davidson metropolitan government (balance). Derived features are market-level estimates and are not site-specific.</x:v>
      </x:c>
      <x:c r="R6" s="85" t="str">
        <x:v>area_or_city</x:v>
      </x:c>
      <x:c r="S6" s="85" t="str">
        <x:v>low</x:v>
      </x:c>
      <x:c r="T6" s="85" t="str">
        <x:v>https://tigerweb.geo.census.gov/tigerwebmain/Files/bas26/tigerweb_bas26_incplace_2020_tab20_tn.html</x:v>
      </x:c>
      <x:c r="U6" s="220" t="str">
        <x:v>city_representative_features</x:v>
      </x:c>
      <x:c r="V6" s="222" t="n">
        <x:v>0.1199615700679816</x:v>
      </x:c>
      <x:c r="W6" s="220" t="str">
        <x:v>Candidate / not clustered</x:v>
      </x:c>
      <x:c r="X6" s="222" t="n">
        <x:v>0.1723118661269711</x:v>
      </x:c>
      <x:c r="Y6" s="222" t="n">
        <x:v>2.7546887632101753</x:v>
      </x:c>
      <x:c r="Z6" s="222" t="n">
        <x:v>20.81356562075462</x:v>
      </x:c>
      <x:c r="AA6" s="224" t="n">
        <x:v>500</x:v>
      </x:c>
      <x:c r="AB6" s="226" t="n">
        <x:v>1</x:v>
      </x:c>
      <x:c r="AC6" s="222" t="n">
        <x:v>0.4824685494674138</x:v>
      </x:c>
      <x:c r="AD6" s="222" t="n">
        <x:v>1.1338343547492988</x:v>
      </x:c>
      <x:c r="AE6" s="222" t="n">
        <x:v>0.4996096498820266</x:v>
      </x:c>
      <x:c r="AF6" s="219" t="n">
        <x:v>923</x:v>
      </x:c>
      <x:c r="AG6" s="226" t="str">
        <x:v>47037</x:v>
      </x:c>
      <x:c r="AH6" s="229" t="str">
        <x:v>Davidson County</x:v>
      </x:c>
      <x:c r="AI6" s="219" t="n">
        <x:v>36</x:v>
      </x:c>
      <x:c r="AJ6" s="226" t="n">
        <x:v>750</x:v>
      </x:c>
      <x:c r="AK6" s="226" t="n">
        <x:v>467</x:v>
      </x:c>
      <x:c r="AL6" s="219" t="n">
        <x:v>56</x:v>
      </x:c>
      <x:c r="AM6" s="226" t="n">
        <x:v>1609</x:v>
      </x:c>
      <x:c r="AN6" s="226" t="n">
        <x:v>617</x:v>
      </x:c>
      <x:c r="AO6" s="226" t="n">
        <x:v>526927</x:v>
      </x:c>
      <x:c r="AP6" s="226" t="n">
        <x:v>22122</x:v>
      </x:c>
      <x:c r="AQ6" s="226" t="str">
        <x:v>G</x:v>
      </x:c>
      <x:c r="AR6" s="226" t="n">
        <x:v>16596</x:v>
      </x:c>
      <x:c r="AS6" s="226" t="n">
        <x:v>704</x:v>
      </x:c>
      <x:c r="AT6" s="226" t="str">
        <x:v>G</x:v>
      </x:c>
      <x:c r="AU6" s="226" t="n">
        <x:v>33740</x:v>
      </x:c>
      <x:c r="AV6" s="226" t="n">
        <x:v>2441</x:v>
      </x:c>
      <x:c r="AW6" s="226" t="str">
        <x:v>G</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c r="U7" s="220" t="str">
        <x:v>direct_site_features</x:v>
      </x:c>
      <x:c r="V7" s="222" t="n">
        <x:v>17.477420413451394</x:v>
      </x:c>
      <x:c r="W7" s="220" t="str">
        <x:v>Candidate / not clustered</x:v>
      </x:c>
      <x:c r="X7" s="222" t="n">
        <x:v>1.2951609164858104</x:v>
      </x:c>
      <x:c r="Y7" s="222" t="n">
        <x:v>1.2951609164858104</x:v>
      </x:c>
      <x:c r="Z7" s="222" t="n">
        <x:v>11.175516178530444</x:v>
      </x:c>
      <x:c r="AA7" s="224" t="n">
        <x:v>500</x:v>
      </x:c>
      <x:c r="AB7" s="226" t="n">
        <x:v>1</x:v>
      </x:c>
      <x:c r="AC7" s="222" t="n">
        <x:v>0.2439990478853663</x:v>
      </x:c>
      <x:c r="AD7" s="222" t="n">
        <x:v>6.465734347055811</x:v>
      </x:c>
      <x:c r="AE7" s="222" t="n">
        <x:v>0.4435461841557285</x:v>
      </x:c>
      <x:c r="AF7" s="219" t="n">
        <x:v>621</x:v>
      </x:c>
      <x:c r="AG7" s="226" t="str">
        <x:v>47149</x:v>
      </x:c>
      <x:c r="AH7" s="229" t="str">
        <x:v>Rutherford County</x:v>
      </x:c>
      <x:c r="AI7" s="219" t="n">
        <x:v>38</x:v>
      </x:c>
      <x:c r="AJ7" s="226" t="n">
        <x:v>949</x:v>
      </x:c>
      <x:c r="AK7" s="226" t="n">
        <x:v>519</x:v>
      </x:c>
      <x:c r="AL7" s="219" t="n">
        <x:v>52</x:v>
      </x:c>
      <x:c r="AM7" s="226" t="n">
        <x:v>1318</x:v>
      </x:c>
      <x:c r="AN7" s="226" t="n">
        <x:v>861</x:v>
      </x:c>
      <x:c r="AO7" s="226" t="n">
        <x:v>128935</x:v>
      </x:c>
      <x:c r="AP7" s="226" t="n">
        <x:v>6285</x:v>
      </x:c>
      <x:c r="AQ7" s="226" t="str">
        <x:v>G</x:v>
      </x:c>
      <x:c r="AR7" s="226" t="n">
        <x:v>897</x:v>
      </x:c>
      <x:c r="AS7" s="226" t="n">
        <x:v>93</x:v>
      </x:c>
      <x:c r="AT7" s="226" t="str">
        <x:v>H</x:v>
      </x:c>
      <x:c r="AU7" s="226" t="n">
        <x:v>5057</x:v>
      </x:c>
      <x:c r="AV7" s="226" t="n">
        <x:v>441</x:v>
      </x:c>
      <x:c r="AW7" s="226" t="str">
        <x:v>G</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c r="U8" s="220" t="str">
        <x:v>direct_site_features</x:v>
      </x:c>
      <x:c r="V8" s="222" t="n">
        <x:v>0.1199615700679816</x:v>
      </x:c>
      <x:c r="W8" s="220" t="str">
        <x:v>Candidate / not clustered</x:v>
      </x:c>
      <x:c r="X8" s="222" t="n">
        <x:v>0.11985864260321</x:v>
      </x:c>
      <x:c r="Y8" s="222" t="n">
        <x:v>2.697332165039337</x:v>
      </x:c>
      <x:c r="Z8" s="222" t="n">
        <x:v>20.749195342598043</x:v>
      </x:c>
      <x:c r="AA8" s="224" t="n">
        <x:v>500</x:v>
      </x:c>
      <x:c r="AB8" s="226" t="n">
        <x:v>1</x:v>
      </x:c>
      <x:c r="AC8" s="222" t="n">
        <x:v>0.3786294840102457</x:v>
      </x:c>
      <x:c r="AD8" s="222" t="n">
        <x:v>1.029021252388722</x:v>
      </x:c>
      <x:c r="AE8" s="222" t="n">
        <x:v>0.5987710082936638</x:v>
      </x:c>
      <x:c r="AF8" s="219" t="n">
        <x:v>929</x:v>
      </x:c>
      <x:c r="AG8" s="226" t="str">
        <x:v>47037</x:v>
      </x:c>
      <x:c r="AH8" s="229" t="str">
        <x:v>Davidson County</x:v>
      </x:c>
      <x:c r="AI8" s="219" t="n">
        <x:v>36</x:v>
      </x:c>
      <x:c r="AJ8" s="226" t="n">
        <x:v>750</x:v>
      </x:c>
      <x:c r="AK8" s="226" t="n">
        <x:v>467</x:v>
      </x:c>
      <x:c r="AL8" s="219" t="n">
        <x:v>56</x:v>
      </x:c>
      <x:c r="AM8" s="226" t="n">
        <x:v>1609</x:v>
      </x:c>
      <x:c r="AN8" s="226" t="n">
        <x:v>617</x:v>
      </x:c>
      <x:c r="AO8" s="226" t="n">
        <x:v>526927</x:v>
      </x:c>
      <x:c r="AP8" s="226" t="n">
        <x:v>22122</x:v>
      </x:c>
      <x:c r="AQ8" s="226" t="str">
        <x:v>G</x:v>
      </x:c>
      <x:c r="AR8" s="226" t="n">
        <x:v>16596</x:v>
      </x:c>
      <x:c r="AS8" s="226" t="n">
        <x:v>704</x:v>
      </x:c>
      <x:c r="AT8" s="226" t="str">
        <x:v>G</x:v>
      </x:c>
      <x:c r="AU8" s="226" t="n">
        <x:v>33740</x:v>
      </x:c>
      <x:c r="AV8" s="226" t="n">
        <x:v>2441</x:v>
      </x:c>
      <x:c r="AW8" s="226" t="str">
        <x:v>G</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c r="U9" s="220" t="str">
        <x:v>direct_site_features</x:v>
      </x:c>
      <x:c r="V9" s="222" t="n">
        <x:v>5.78964157802513</x:v>
      </x:c>
      <x:c r="W9" s="220" t="str">
        <x:v>Candidate / not clustered</x:v>
      </x:c>
      <x:c r="X9" s="222" t="n">
        <x:v>0.5494278274235339</x:v>
      </x:c>
      <x:c r="Y9" s="222" t="n">
        <x:v>0.5494278274235339</x:v>
      </x:c>
      <x:c r="Z9" s="222" t="n">
        <x:v>0.7488773710340574</x:v>
      </x:c>
      <x:c r="AA9" s="224" t="n">
        <x:v>500</x:v>
      </x:c>
      <x:c r="AB9" s="226" t="n">
        <x:v>1</x:v>
      </x:c>
      <x:c r="AC9" s="222" t="n">
        <x:v>3.210200206642162</x:v>
      </x:c>
      <x:c r="AD9" s="222" t="n">
        <x:v>6.276103991973085</x:v>
      </x:c>
      <x:c r="AE9" s="222" t="n">
        <x:v>0.2533076412097717</x:v>
      </x:c>
      <x:c r="AF9" s="219" t="n">
        <x:v>1295</x:v>
      </x:c>
      <x:c r="AG9" s="226" t="str">
        <x:v>47145</x:v>
      </x:c>
      <x:c r="AH9" s="229" t="str">
        <x:v>Roane County</x:v>
      </x:c>
      <x:c r="AI9" s="219" t="n">
        <x:v>13</x:v>
      </x:c>
      <x:c r="AJ9" s="226" t="n">
        <x:v>404</x:v>
      </x:c>
      <x:c r="AK9" s="226" t="n">
        <x:v>968</x:v>
      </x:c>
      <x:c r="AL9" s="219" t="n">
        <x:v>30</x:v>
      </x:c>
      <x:c r="AM9" s="226" t="n">
        <x:v>1967</x:v>
      </x:c>
      <x:c r="AN9" s="226" t="n">
        <x:v>1004</x:v>
      </x:c>
      <x:c r="AO9" s="226" t="n">
        <x:v>8996</x:v>
      </x:c>
      <x:c r="AP9" s="226" t="n">
        <x:v>769</x:v>
      </x:c>
      <x:c r="AQ9" s="226" t="str">
        <x:v>G</x:v>
      </x:c>
      <x:c r="AR9" s="226" t="n">
        <x:v>49</x:v>
      </x:c>
      <x:c r="AS9" s="226" t="n">
        <x:v>12</x:v>
      </x:c>
      <x:c r="AT9" s="226" t="str">
        <x:v>J</x:v>
      </x:c>
      <x:c r="AU9" s="226" t="n">
        <x:v>306</x:v>
      </x:c>
      <x:c r="AV9" s="226" t="n">
        <x:v>54</x:v>
      </x:c>
      <x:c r="AW9" s="226" t="str">
        <x:v>H</x:v>
      </x:c>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c r="U10" s="220" t="str">
        <x:v>shared_site:TNCAND-009</x:v>
      </x:c>
      <x:c r="V10" s="222" t="n">
        <x:v>5.78964157802513</x:v>
      </x:c>
      <x:c r="W10" s="220" t="str">
        <x:v>Candidate / not clustered</x:v>
      </x:c>
      <x:c r="X10" s="222" t="n">
        <x:v>0.5494278274235339</x:v>
      </x:c>
      <x:c r="Y10" s="222" t="n">
        <x:v>0.5494278274235339</x:v>
      </x:c>
      <x:c r="Z10" s="222" t="n">
        <x:v>0.7488773710340574</x:v>
      </x:c>
      <x:c r="AA10" s="224" t="n">
        <x:v>500</x:v>
      </x:c>
      <x:c r="AB10" s="226" t="n">
        <x:v>1</x:v>
      </x:c>
      <x:c r="AC10" s="222" t="n">
        <x:v>3.210200206642162</x:v>
      </x:c>
      <x:c r="AD10" s="222" t="n">
        <x:v>6.276103991973085</x:v>
      </x:c>
      <x:c r="AE10" s="222" t="n">
        <x:v>0.2533076412097717</x:v>
      </x:c>
      <x:c r="AF10" s="219" t="n">
        <x:v>1295</x:v>
      </x:c>
      <x:c r="AG10" s="226" t="str">
        <x:v>47145</x:v>
      </x:c>
      <x:c r="AH10" s="229" t="str">
        <x:v>Roane County</x:v>
      </x:c>
      <x:c r="AI10" s="219" t="n">
        <x:v>13</x:v>
      </x:c>
      <x:c r="AJ10" s="226" t="n">
        <x:v>404</x:v>
      </x:c>
      <x:c r="AK10" s="226" t="n">
        <x:v>968</x:v>
      </x:c>
      <x:c r="AL10" s="219" t="n">
        <x:v>30</x:v>
      </x:c>
      <x:c r="AM10" s="226" t="n">
        <x:v>1967</x:v>
      </x:c>
      <x:c r="AN10" s="226" t="n">
        <x:v>1004</x:v>
      </x:c>
      <x:c r="AO10" s="226" t="n">
        <x:v>8996</x:v>
      </x:c>
      <x:c r="AP10" s="226" t="n">
        <x:v>769</x:v>
      </x:c>
      <x:c r="AQ10" s="226" t="str">
        <x:v>G</x:v>
      </x:c>
      <x:c r="AR10" s="226" t="n">
        <x:v>49</x:v>
      </x:c>
      <x:c r="AS10" s="226" t="n">
        <x:v>12</x:v>
      </x:c>
      <x:c r="AT10" s="226" t="str">
        <x:v>J</x:v>
      </x:c>
      <x:c r="AU10" s="226" t="n">
        <x:v>306</x:v>
      </x:c>
      <x:c r="AV10" s="226" t="n">
        <x:v>54</x:v>
      </x:c>
      <x:c r="AW10" s="226" t="str">
        <x:v>H</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c r="U11" s="220" t="str">
        <x:v>direct_site_features</x:v>
      </x:c>
      <x:c r="V11" s="222" t="n">
        <x:v>1.826739921351709</x:v>
      </x:c>
      <x:c r="W11" s="220" t="str">
        <x:v>Candidate / not clustered</x:v>
      </x:c>
      <x:c r="X11" s="222" t="n">
        <x:v>0.2083265200808276</x:v>
      </x:c>
      <x:c r="Y11" s="222" t="n">
        <x:v>0.2083265200808276</x:v>
      </x:c>
      <x:c r="Z11" s="222" t="n">
        <x:v>18.008025821242953</x:v>
      </x:c>
      <x:c r="AA11" s="224" t="n">
        <x:v>500</x:v>
      </x:c>
      <x:c r="AB11" s="226" t="n">
        <x:v>1</x:v>
      </x:c>
      <x:c r="AC11" s="222" t="n">
        <x:v>0.3549606588226874</x:v>
      </x:c>
      <x:c r="AD11" s="222" t="n">
        <x:v>1.2925106218366806</x:v>
      </x:c>
      <x:c r="AE11" s="222" t="n">
        <x:v>2.993649634234073</x:v>
      </x:c>
      <x:c r="AF11" s="219" t="n">
        <x:v>962</x:v>
      </x:c>
      <x:c r="AG11" s="226" t="str">
        <x:v>47037</x:v>
      </x:c>
      <x:c r="AH11" s="229" t="str">
        <x:v>Davidson County</x:v>
      </x:c>
      <x:c r="AI11" s="219" t="n">
        <x:v>36</x:v>
      </x:c>
      <x:c r="AJ11" s="226" t="n">
        <x:v>750</x:v>
      </x:c>
      <x:c r="AK11" s="226" t="n">
        <x:v>467</x:v>
      </x:c>
      <x:c r="AL11" s="219" t="n">
        <x:v>56</x:v>
      </x:c>
      <x:c r="AM11" s="226" t="n">
        <x:v>1609</x:v>
      </x:c>
      <x:c r="AN11" s="226" t="n">
        <x:v>617</x:v>
      </x:c>
      <x:c r="AO11" s="226" t="n">
        <x:v>526927</x:v>
      </x:c>
      <x:c r="AP11" s="226" t="n">
        <x:v>22122</x:v>
      </x:c>
      <x:c r="AQ11" s="226" t="str">
        <x:v>G</x:v>
      </x:c>
      <x:c r="AR11" s="226" t="n">
        <x:v>16596</x:v>
      </x:c>
      <x:c r="AS11" s="226" t="n">
        <x:v>704</x:v>
      </x:c>
      <x:c r="AT11" s="226" t="str">
        <x:v>G</x:v>
      </x:c>
      <x:c r="AU11" s="226" t="n">
        <x:v>33740</x:v>
      </x:c>
      <x:c r="AV11" s="226" t="n">
        <x:v>2441</x:v>
      </x:c>
      <x:c r="AW11" s="226" t="str">
        <x:v>G</x:v>
      </x:c>
    </x:row>
    <x:row r="12">
      <x:c r="A12" t="str">
        <x:v>TNCAND-012</x:v>
      </x:c>
      <x:c r="B12" t="str">
        <x:v>TNDC-038</x:v>
      </x:c>
      <x:c r="C12" t="str">
        <x:v>Scipio Technologies NREP Listing</x:v>
      </x:c>
      <x:c r="D12" t="str">
        <x:v>linked_master_evidence</x:v>
      </x:c>
      <x:c r="E12" t="str">
        <x:v>high</x:v>
      </x:c>
      <x:c r="F12" t="str">
        <x:v>1661 Murfreesboro Pike</x:v>
      </x:c>
      <x:c r="G12" t="str">
        <x:v>Nashville</x:v>
      </x:c>
      <x:c r="H12" t="str">
        <x:v>Davidson</x:v>
      </x:c>
      <x:c r="I12" t="str">
        <x:v>TN</x:v>
      </x:c>
      <x:c r="J12" t="str">
        <x:v>37217</x:v>
      </x:c>
      <x:c r="K12"/>
      <x:c r="L12"/>
      <x:c r="M12" s="85" t="str">
        <x:v>Scipio's public support address is 1661 Murfreesboro Pike, matching TNDC-038. It is retained as linked supporting evidence, not a distinct spatial candidate.</x:v>
      </x:c>
      <x:c r="N12" s="85" t="str">
        <x:v>datacentermap.com | scipiotech.com</x:v>
      </x:c>
      <x:c r="O12" s="85" t="str">
        <x:v>https://www.datacentermap.com/usa/tennessee/nashville/ | https://scipiotech.com/support/ | https://www.datacentermap.com/usa/tennessee/nashville/nexus-nrep/</x:v>
      </x:c>
      <x:c r="P12" s="123" t="str">
        <x:v>2026-09-07</x:v>
      </x:c>
      <x:c r="Q12" s="85" t="str">
        <x:v>Resolved as linked evidence for TNDC-038 by the shared 1661 Murfreesboro Pike address. Coordinates remain blank because this row is not a distinct site.</x:v>
      </x:c>
      <x:c r="R12" s="85" t="str">
        <x:v>address_or_site</x:v>
      </x:c>
      <x:c r="S12" s="85" t="str">
        <x:v>high</x:v>
      </x:c>
      <x:c r="T12" s="85"/>
      <x:c r="U12" s="220" t="str">
        <x:v>linked_master:TNDC-038</x:v>
      </x:c>
      <x:c r="V12" s="222" t="n">
        <x:v>5.053066150501399</x:v>
      </x:c>
      <x:c r="W12" s="220" t="str">
        <x:v>C2 Nashville area</x:v>
      </x:c>
      <x:c r="X12" s="222" t="n">
        <x:v>0.0707119478126202</x:v>
      </x:c>
      <x:c r="Y12" s="222" t="n">
        <x:v>1.0205936549853298</x:v>
      </x:c>
      <x:c r="Z12" s="222" t="n">
        <x:v>8.266680964276182</x:v>
      </x:c>
      <x:c r="AA12" s="224" t="n">
        <x:v>500</x:v>
      </x:c>
      <x:c r="AB12" s="226" t="n">
        <x:v>1</x:v>
      </x:c>
      <x:c r="AC12" s="222" t="n">
        <x:v>0.101192712090354</x:v>
      </x:c>
      <x:c r="AD12" s="222" t="n">
        <x:v>3.367226120148101</x:v>
      </x:c>
      <x:c r="AE12" s="222" t="n">
        <x:v>0.216468617040965</x:v>
      </x:c>
      <x:c r="AF12" s="219" t="n">
        <x:v>809</x:v>
      </x:c>
      <x:c r="AG12" s="226" t="str">
        <x:v>47037</x:v>
      </x:c>
      <x:c r="AH12" s="229" t="str">
        <x:v>Davidson County</x:v>
      </x:c>
      <x:c r="AI12" s="219" t="n">
        <x:v>38</x:v>
      </x:c>
      <x:c r="AJ12" s="226" t="n">
        <x:v>949</x:v>
      </x:c>
      <x:c r="AK12" s="226" t="n">
        <x:v>519</x:v>
      </x:c>
      <x:c r="AL12" s="219" t="n">
        <x:v>55</x:v>
      </x:c>
      <x:c r="AM12" s="226" t="n">
        <x:v>1623</x:v>
      </x:c>
      <x:c r="AN12" s="226" t="n">
        <x:v>617</x:v>
      </x:c>
      <x:c r="AO12" s="226" t="n">
        <x:v>526927</x:v>
      </x:c>
      <x:c r="AP12" s="226" t="n">
        <x:v>22122</x:v>
      </x:c>
      <x:c r="AQ12" s="226" t="str">
        <x:v>G</x:v>
      </x:c>
      <x:c r="AR12" s="226" t="n">
        <x:v>16596</x:v>
      </x:c>
      <x:c r="AS12" s="226" t="n">
        <x:v>704</x:v>
      </x:c>
      <x:c r="AT12" s="226" t="str">
        <x:v>G</x:v>
      </x:c>
      <x:c r="AU12" s="226" t="n">
        <x:v>33740</x:v>
      </x:c>
      <x:c r="AV12" s="226" t="n">
        <x:v>2441</x:v>
      </x:c>
      <x:c r="AW12" s="226" t="str">
        <x:v>G</x:v>
      </x:c>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2026-09-07</x:v>
      </x:c>
      <x:c r="Q13" s="85" t="str">
        <x:v>Current directory evidence lists the Airnet/Dataprise facility at 801 Broad Street, but no primary operator page confirms current data-center operations there. Retained as a candidate pending primary operational confirmation.</x:v>
      </x:c>
      <x:c r="R13" s="85" t="str">
        <x:v>address_or_site</x:v>
      </x:c>
      <x:c r="S13" s="85" t="str">
        <x:v>high</x:v>
      </x:c>
      <x:c r="T13" s="85"/>
      <x:c r="U13" s="220" t="str">
        <x:v>direct_site_features</x:v>
      </x:c>
      <x:c r="V13" s="222" t="n">
        <x:v>0.4108468813552908</x:v>
      </x:c>
      <x:c r="W13" s="220" t="str">
        <x:v>Candidate / not clustered</x:v>
      </x:c>
      <x:c r="X13" s="222" t="n">
        <x:v>2.423240542770371</x:v>
      </x:c>
      <x:c r="Y13" s="222" t="n">
        <x:v>2.423240542770371</x:v>
      </x:c>
      <x:c r="Z13" s="222" t="n">
        <x:v>5.777505241574905</x:v>
      </x:c>
      <x:c r="AA13" s="224" t="n">
        <x:v>500</x:v>
      </x:c>
      <x:c r="AB13" s="226" t="n">
        <x:v>2</x:v>
      </x:c>
      <x:c r="AC13" s="222" t="n">
        <x:v>0.1395838351382324</x:v>
      </x:c>
      <x:c r="AD13" s="222" t="n">
        <x:v>1.7486306681580843</x:v>
      </x:c>
      <x:c r="AE13" s="222" t="n">
        <x:v>1.25665845845521</x:v>
      </x:c>
      <x:c r="AF13" s="219" t="n">
        <x:v>1157</x:v>
      </x:c>
      <x:c r="AG13" s="226" t="str">
        <x:v>47065</x:v>
      </x:c>
      <x:c r="AH13" s="229" t="str">
        <x:v>Hamilton County</x:v>
      </x:c>
      <x:c r="AI13" s="219" t="n">
        <x:v>14</x:v>
      </x:c>
      <x:c r="AJ13" s="226" t="n">
        <x:v>313</x:v>
      </x:c>
      <x:c r="AK13" s="226" t="n">
        <x:v>152</x:v>
      </x:c>
      <x:c r="AL13" s="219" t="n">
        <x:v>28</x:v>
      </x:c>
      <x:c r="AM13" s="226" t="n">
        <x:v>535</x:v>
      </x:c>
      <x:c r="AN13" s="226" t="n">
        <x:v>162</x:v>
      </x:c>
      <x:c r="AO13" s="226" t="n">
        <x:v>205761</x:v>
      </x:c>
      <x:c r="AP13" s="226" t="n">
        <x:v>9883</x:v>
      </x:c>
      <x:c r="AQ13" s="226" t="str">
        <x:v>G</x:v>
      </x:c>
      <x:c r="AR13" s="226" t="n">
        <x:v>3565</x:v>
      </x:c>
      <x:c r="AS13" s="226" t="n">
        <x:v>174</x:v>
      </x:c>
      <x:c r="AT13" s="226" t="str">
        <x:v>G</x:v>
      </x:c>
      <x:c r="AU13" s="226" t="n">
        <x:v>10146</x:v>
      </x:c>
      <x:c r="AV13" s="226" t="n">
        <x:v>937</x:v>
      </x:c>
      <x:c r="AW13" s="226" t="str">
        <x:v>G</x:v>
      </x:c>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2026-09-07</x:v>
      </x:c>
      <x:c r="Q14" s="85" t="str">
        <x:v>Current directory evidence lists the former Windstream/NuVox facility at 940 3rd Ave N. Corporate ownership naming changed after the Uniti transaction, but no primary operator page confirms current data-center operations. Retained as a candidate.</x:v>
      </x:c>
      <x:c r="R14" s="85" t="str">
        <x:v>address_or_site</x:v>
      </x:c>
      <x:c r="S14" s="85" t="str">
        <x:v>high</x:v>
      </x:c>
      <x:c r="T14" s="85" t="str">
        <x:v>github-geocode:940-3rd-ave-n</x:v>
      </x:c>
      <x:c r="U14" s="220" t="str">
        <x:v>direct_site_features</x:v>
      </x:c>
      <x:c r="V14" s="222" t="n">
        <x:v>0.189418735621127</x:v>
      </x:c>
      <x:c r="W14" s="220" t="str">
        <x:v>Candidate / not clustered</x:v>
      </x:c>
      <x:c r="X14" s="222" t="n">
        <x:v>0.0884122454567099</x:v>
      </x:c>
      <x:c r="Y14" s="222" t="n">
        <x:v>2.8612764443878977</x:v>
      </x:c>
      <x:c r="Z14" s="222" t="n">
        <x:v>20.924339871778106</x:v>
      </x:c>
      <x:c r="AA14" s="224" t="n">
        <x:v>500</x:v>
      </x:c>
      <x:c r="AB14" s="226" t="n">
        <x:v>1</x:v>
      </x:c>
      <x:c r="AC14" s="222" t="n">
        <x:v>0.6412253555403852</x:v>
      </x:c>
      <x:c r="AD14" s="222" t="n">
        <x:v>1.0330715746327128</x:v>
      </x:c>
      <x:c r="AE14" s="222" t="n">
        <x:v>0.3488547157964339</x:v>
      </x:c>
      <x:c r="AF14" s="219" t="n">
        <x:v>919</x:v>
      </x:c>
      <x:c r="AG14" s="226" t="str">
        <x:v>47037</x:v>
      </x:c>
      <x:c r="AH14" s="229" t="str">
        <x:v>Davidson County</x:v>
      </x:c>
      <x:c r="AI14" s="219" t="n">
        <x:v>36</x:v>
      </x:c>
      <x:c r="AJ14" s="226" t="n">
        <x:v>750</x:v>
      </x:c>
      <x:c r="AK14" s="226" t="n">
        <x:v>467</x:v>
      </x:c>
      <x:c r="AL14" s="219" t="n">
        <x:v>56</x:v>
      </x:c>
      <x:c r="AM14" s="226" t="n">
        <x:v>1609</x:v>
      </x:c>
      <x:c r="AN14" s="226" t="n">
        <x:v>617</x:v>
      </x:c>
      <x:c r="AO14" s="226" t="n">
        <x:v>526927</x:v>
      </x:c>
      <x:c r="AP14" s="226" t="n">
        <x:v>22122</x:v>
      </x:c>
      <x:c r="AQ14" s="226" t="str">
        <x:v>G</x:v>
      </x:c>
      <x:c r="AR14" s="226" t="n">
        <x:v>16596</x:v>
      </x:c>
      <x:c r="AS14" s="226" t="n">
        <x:v>704</x:v>
      </x:c>
      <x:c r="AT14" s="226" t="str">
        <x:v>G</x:v>
      </x:c>
      <x:c r="AU14" s="226" t="n">
        <x:v>33740</x:v>
      </x:c>
      <x:c r="AV14" s="226" t="n">
        <x:v>2441</x:v>
      </x:c>
      <x:c r="AW14" s="226" t="str">
        <x:v>G</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2026-09-07</x:v>
      </x:c>
      <x:c r="Q15" s="85" t="str">
        <x:v>Current directory evidence lists a Verizon facility at 5127 Truse Rd, but no primary current facility page confirms active data-center service. Retained as a candidate.</x:v>
      </x:c>
      <x:c r="R15" s="85" t="str">
        <x:v>address_or_site</x:v>
      </x:c>
      <x:c r="S15" s="85" t="str">
        <x:v>high</x:v>
      </x:c>
      <x:c r="T15" s="85"/>
      <x:c r="U15" s="220" t="str">
        <x:v>direct_site_features</x:v>
      </x:c>
      <x:c r="V15" s="222" t="n">
        <x:v>0.536086088636087</x:v>
      </x:c>
      <x:c r="W15" s="220" t="str">
        <x:v>Candidate / not clustered</x:v>
      </x:c>
      <x:c r="X15" s="222" t="n">
        <x:v>0.1168910413917695</x:v>
      </x:c>
      <x:c r="Y15" s="222" t="n">
        <x:v>0.1168910413917695</x:v>
      </x:c>
      <x:c r="Z15" s="222" t="n">
        <x:v>5.663422137774373</x:v>
      </x:c>
      <x:c r="AA15" s="224" t="n">
        <x:v>500</x:v>
      </x:c>
      <x:c r="AB15" s="226" t="n">
        <x:v>3</x:v>
      </x:c>
      <x:c r="AC15" s="222" t="n">
        <x:v>0.1740304144736869</x:v>
      </x:c>
      <x:c r="AD15" s="222" t="n">
        <x:v>1.9074207477809144</x:v>
      </x:c>
      <x:c r="AE15" s="222" t="n">
        <x:v>0.965330035299926</x:v>
      </x:c>
      <x:c r="AF15" s="219" t="n">
        <x:v>1345</x:v>
      </x:c>
      <x:c r="AG15" s="226" t="str">
        <x:v>47157</x:v>
      </x:c>
      <x:c r="AH15" s="229" t="str">
        <x:v>Shelby County</x:v>
      </x:c>
      <x:c r="AI15" s="219" t="n">
        <x:v>27</x:v>
      </x:c>
      <x:c r="AJ15" s="226" t="n">
        <x:v>956</x:v>
      </x:c>
      <x:c r="AK15" s="226" t="n">
        <x:v>286</x:v>
      </x:c>
      <x:c r="AL15" s="219" t="n">
        <x:v>35</x:v>
      </x:c>
      <x:c r="AM15" s="226" t="n">
        <x:v>1204</x:v>
      </x:c>
      <x:c r="AN15" s="226" t="n">
        <x:v>481</x:v>
      </x:c>
      <x:c r="AO15" s="226" t="n">
        <x:v>446048</x:v>
      </x:c>
      <x:c r="AP15" s="226" t="n">
        <x:v>19359</x:v>
      </x:c>
      <x:c r="AQ15" s="226" t="str">
        <x:v>G</x:v>
      </x:c>
      <x:c r="AR15" s="226" t="n">
        <x:v>4823</x:v>
      </x:c>
      <x:c r="AS15" s="226" t="n">
        <x:v>318</x:v>
      </x:c>
      <x:c r="AT15" s="226" t="str">
        <x:v>G</x:v>
      </x:c>
      <x:c r="AU15" s="226" t="n">
        <x:v>20108</x:v>
      </x:c>
      <x:c r="AV15" s="226" t="n">
        <x:v>1599</x:v>
      </x:c>
      <x:c r="AW15" s="226" t="str">
        <x:v>G</x:v>
      </x:c>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2026-09-07</x:v>
      </x:c>
      <x:c r="Q16" s="85" t="str">
        <x:v>Current sources conflict: one directory labels the former tw telecom/Lumen listing inactive, while another labels it operational. Retained as a candidate with unresolved operating status.</x:v>
      </x:c>
      <x:c r="R16" s="85" t="str">
        <x:v>address_or_site</x:v>
      </x:c>
      <x:c r="S16" s="85" t="str">
        <x:v>high</x:v>
      </x:c>
      <x:c r="T16" s="85"/>
      <x:c r="U16" s="220" t="str">
        <x:v>direct_site_features</x:v>
      </x:c>
      <x:c r="V16" s="222" t="n">
        <x:v>0.5765360809592314</x:v>
      </x:c>
      <x:c r="W16" s="220" t="str">
        <x:v>Candidate / not clustered</x:v>
      </x:c>
      <x:c r="X16" s="222" t="n">
        <x:v>0.0836624497117524</x:v>
      </x:c>
      <x:c r="Y16" s="222" t="n">
        <x:v>2.6302420928934094</x:v>
      </x:c>
      <x:c r="Z16" s="222" t="n">
        <x:v>2.6302420928934094</x:v>
      </x:c>
      <x:c r="AA16" s="224" t="n">
        <x:v>500</x:v>
      </x:c>
      <x:c r="AB16" s="226" t="n">
        <x:v>2</x:v>
      </x:c>
      <x:c r="AC16" s="222" t="n">
        <x:v>1.5400592802066244</x:v>
      </x:c>
      <x:c r="AD16" s="222" t="n">
        <x:v>5.3098829269128185</x:v>
      </x:c>
      <x:c r="AE16" s="222" t="n">
        <x:v>0.2728228010008091</x:v>
      </x:c>
      <x:c r="AF16" s="219" t="n">
        <x:v>1251</x:v>
      </x:c>
      <x:c r="AG16" s="226" t="str">
        <x:v>47157</x:v>
      </x:c>
      <x:c r="AH16" s="229" t="str">
        <x:v>Shelby County</x:v>
      </x:c>
      <x:c r="AI16" s="219" t="n">
        <x:v>29</x:v>
      </x:c>
      <x:c r="AJ16" s="226" t="n">
        <x:v>1106</x:v>
      </x:c>
      <x:c r="AK16" s="226" t="n">
        <x:v>296</x:v>
      </x:c>
      <x:c r="AL16" s="219" t="n">
        <x:v>35</x:v>
      </x:c>
      <x:c r="AM16" s="226" t="n">
        <x:v>1204</x:v>
      </x:c>
      <x:c r="AN16" s="226" t="n">
        <x:v>481</x:v>
      </x:c>
      <x:c r="AO16" s="226" t="n">
        <x:v>446048</x:v>
      </x:c>
      <x:c r="AP16" s="226" t="n">
        <x:v>19359</x:v>
      </x:c>
      <x:c r="AQ16" s="226" t="str">
        <x:v>G</x:v>
      </x:c>
      <x:c r="AR16" s="226" t="n">
        <x:v>4823</x:v>
      </x:c>
      <x:c r="AS16" s="226" t="n">
        <x:v>318</x:v>
      </x:c>
      <x:c r="AT16" s="226" t="str">
        <x:v>G</x:v>
      </x:c>
      <x:c r="AU16" s="226" t="n">
        <x:v>20108</x:v>
      </x:c>
      <x:c r="AV16" s="226" t="n">
        <x:v>1599</x:v>
      </x:c>
      <x:c r="AW16" s="226" t="str">
        <x:v>G</x:v>
      </x:c>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t="n">
        <x:v>36.445395419476</x:v>
      </x:c>
      <x:c r="L17" t="n">
        <x:v>-81.801011033243</x:v>
      </x:c>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 | census_geocoder</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 | https://geocoding.geo.census.gov/geocoder/geographies/onelineaddress?address=178%20Rainbow%20Rd%2C%20Mountain%20City%2C%20TN%2037683&amp;benchmark=Public_AR_Current&amp;vintage=Current_Current&amp;format=json</x:v>
      </x:c>
      <x:c r="P17" t="str">
        <x:v>2026-09-08</x:v>
      </x:c>
      <x:c r="Q17" t="str">
        <x:v>The U.S. Census Geocoder returned a unique match for 178 Rainbow Rd, Mountain City, TN 37683, consistent with parcel 055-022.01. Coordinates are a TIGER address-range interpolation rather than a parcel centroid; Phase 1 spatial features are calculated from this address point.</x:v>
      </x:c>
      <x:c r="R17" t="str">
        <x:v>address_or_site</x:v>
      </x:c>
      <x:c r="S17" t="str">
        <x:v>high</x:v>
      </x:c>
      <x:c r="T17" t="str">
        <x:v>https://geocoding.geo.census.gov/geocoder/geographies/onelineaddress?address=178%20Rainbow%20Rd%2C%20Mountain%20City%2C%20TN%2037683&amp;benchmark=Public_AR_Current&amp;vintage=Current_Current&amp;format=json</x:v>
      </x:c>
      <x:c r="U17" s="220" t="str">
        <x:v>address_geocoded_features</x:v>
      </x:c>
      <x:c r="V17" s="222" t="n">
        <x:v>37.94409711967336</x:v>
      </x:c>
      <x:c r="W17" s="220" t="str">
        <x:v>Candidate / not clustered</x:v>
      </x:c>
      <x:c r="X17" s="222" t="n">
        <x:v>0.1256329474041895</x:v>
      </x:c>
      <x:c r="Y17" s="222" t="n">
        <x:v>0.1256329474041895</x:v>
      </x:c>
      <x:c r="Z17" s="222" t="n">
        <x:v>28.74529164089562</x:v>
      </x:c>
      <x:c r="AA17" s="224" t="n">
        <x:v>161</x:v>
      </x:c>
      <x:c r="AB17" s="226" t="n">
        <x:v>3</x:v>
      </x:c>
      <x:c r="AC17" s="222" t="n">
        <x:v>0.6533632839568034</x:v>
      </x:c>
      <x:c r="AD17" s="222" t="n">
        <x:v>42.95665876226064</x:v>
      </x:c>
      <x:c r="AE17" s="222" t="n">
        <x:v>0.0498554757179057</x:v>
      </x:c>
      <x:c r="AF17" s="219" t="n">
        <x:v>1324</x:v>
      </x:c>
      <x:c r="AG17" s="226" t="str">
        <x:v>47091</x:v>
      </x:c>
      <x:c r="AH17" s="229" t="str">
        <x:v>Johnson County</x:v>
      </x:c>
      <x:c r="AI17" s="219" t="n">
        <x:v>9</x:v>
      </x:c>
      <x:c r="AJ17" s="226" t="n">
        <x:v>194</x:v>
      </x:c>
      <x:c r="AK17" s="226" t="n">
        <x:v>21</x:v>
      </x:c>
      <x:c r="AL17" s="219" t="n">
        <x:v>30</x:v>
      </x:c>
      <x:c r="AM17" s="226" t="n">
        <x:v>717</x:v>
      </x:c>
      <x:c r="AN17" s="226" t="n">
        <x:v>61</x:v>
      </x:c>
      <x:c r="AO17" s="226" t="n">
        <x:v>3415</x:v>
      </x:c>
      <x:c r="AP17" s="226" t="n">
        <x:v>256</x:v>
      </x:c>
      <x:c r="AQ17" s="226" t="str">
        <x:v>G</x:v>
      </x:c>
      <x:c r="AR17" s="226" t="n">
        <x:v>0</x:v>
      </x:c>
      <x:c r="AS17" s="226" t="n">
        <x:v>0</x:v>
      </x:c>
      <x:c r="AT17" s="226" t="str">
        <x:v>NO_PUBLISHED_ROW</x:v>
      </x:c>
      <x:c r="AU17" s="226" t="n">
        <x:v>80</x:v>
      </x:c>
      <x:c r="AV17" s="226" t="n">
        <x:v>17</x:v>
      </x:c>
      <x:c r="AW17" s="226" t="str">
        <x:v>G</x:v>
      </x:c>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666dc95281814e48"/>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row r="135">
      <x:c r="A135" t="str">
        <x:v>2026-09-07</x:v>
      </x:c>
      <x:c r="B135" t="str">
        <x:v>TNDC-006</x:v>
      </x:c>
      <x:c r="C135" t="str">
        <x:v>UPDATE</x:v>
      </x:c>
      <x:c r="D135" t="str">
        <x:v>analysis_scope</x:v>
      </x:c>
      <x:c r="E135" t="str">
        <x:v>core_data_center</x:v>
      </x:c>
      <x:c r="F135" t="str">
        <x:v>unconfirmed_candidate</x:v>
      </x:c>
      <x:c r="G135" t="str">
        <x:v>../model/data/metadata/review_queue_research_ledger.csv</x:v>
      </x:c>
      <x:c r="H135" t="str">
        <x:v>Local reporting conflicts with market listings; retain traceability but exclude from confirmed spatial presence.</x:v>
      </x:c>
    </x:row>
    <x:row r="136">
      <x:c r="A136" t="str">
        <x:v>2026-09-07</x:v>
      </x:c>
      <x:c r="B136" t="str">
        <x:v>TNDC-023</x:v>
      </x:c>
      <x:c r="C136" t="str">
        <x:v>UPDATE</x:v>
      </x:c>
      <x:c r="D136" t="str">
        <x:v>verification_note</x:v>
      </x:c>
      <x:c r="E136" t="str">
        <x:v>Local vicinity note</x:v>
      </x:c>
      <x:c r="F136" t="str">
        <x:v>Approximate-vicinity decision</x:v>
      </x:c>
      <x:c r="G136" t="str">
        <x:v>../model/data/metadata/review_queue_research_ledger.csv</x:v>
      </x:c>
      <x:c r="H136" t="str">
        <x:v>Official developer page lacks a parcel; prevent false exact-site interpretation.</x:v>
      </x:c>
    </x:row>
    <x:row r="137">
      <x:c r="A137" t="str">
        <x:v>2026-09-07</x:v>
      </x:c>
      <x:c r="B137" t="str">
        <x:v>Retired TNDC-025</x:v>
      </x:c>
      <x:c r="C137" t="str">
        <x:v>UPDATE</x:v>
      </x:c>
      <x:c r="D137" t="str">
        <x:v>Review_Pairs rationale</x:v>
      </x:c>
      <x:c r="E137" t="str">
        <x:v>blank</x:v>
      </x:c>
      <x:c r="F137" t="str">
        <x:v>No forced Colossus merge</x:v>
      </x:c>
      <x:c r="G137" t="str">
        <x:v>../model/data/metadata/review_queue_research_ledger.csv</x:v>
      </x:c>
      <x:c r="H137" t="str">
        <x:v>Generic source cannot be assigned safely to either xAI campus.</x:v>
      </x:c>
    </x:row>
    <x:row r="138">
      <x:c r="A138" t="str">
        <x:v>2026-09-07</x:v>
      </x:c>
      <x:c r="B138" t="str">
        <x:v>TNDC-037</x:v>
      </x:c>
      <x:c r="C138" t="str">
        <x:v>UPDATE</x:v>
      </x:c>
      <x:c r="D138" t="str">
        <x:v>address</x:v>
      </x:c>
      <x:c r="E138" t="str">
        <x:v>2992 Sidco Drive</x:v>
      </x:c>
      <x:c r="F138" t="str">
        <x:v>2990 Sidco Drive</x:v>
      </x:c>
      <x:c r="G138" t="str">
        <x:v>../model/data/metadata/review_queue_research_ledger.csv</x:v>
      </x:c>
      <x:c r="H138" t="str">
        <x:v>Use current Lumen route-list address; retain legacy discrepancy in note.</x:v>
      </x:c>
    </x:row>
    <x:row r="139">
      <x:c r="A139" t="str">
        <x:v>2026-09-07</x:v>
      </x:c>
      <x:c r="B139" t="str">
        <x:v>TNDC-039</x:v>
      </x:c>
      <x:c r="C139" t="str">
        <x:v>UPDATE</x:v>
      </x:c>
      <x:c r="D139" t="str">
        <x:v>operator</x:v>
      </x:c>
      <x:c r="E139" t="str">
        <x:v>Fisk University</x:v>
      </x:c>
      <x:c r="F139" t="str">
        <x:v>blank; Fisk retained as project sponsor</x:v>
      </x:c>
      <x:c r="G139" t="str">
        <x:v>../model/data/metadata/review_queue_research_ledger.csv</x:v>
      </x:c>
      <x:c r="H139" t="str">
        <x:v>Operating partner is not publicly identified.</x:v>
      </x:c>
    </x:row>
    <x:row r="140">
      <x:c r="A140" t="str">
        <x:v>2026-09-07</x:v>
      </x:c>
      <x:c r="B140" t="str">
        <x:v>TNDC-002|TNDC-009</x:v>
      </x:c>
      <x:c r="C140" t="str">
        <x:v>UPDATE</x:v>
      </x:c>
      <x:c r="D140" t="str">
        <x:v>facility mapping</x:v>
      </x:c>
      <x:c r="E140" t="str">
        <x:v>queue ambiguity</x:v>
      </x:c>
      <x:c r="F140" t="str">
        <x:v>two distinct SEC-mapped properties</x:v>
      </x:c>
      <x:c r="G140" t="str">
        <x:v>../model/data/metadata/review_queue_research_ledger.csv</x:v>
      </x:c>
      <x:c r="H140" t="str">
        <x:v>SEC evidence confirms both Crossville addresses and no merge.</x:v>
      </x:c>
    </x:row>
    <x:row r="141">
      <x:c r="A141" t="str">
        <x:v>2026-09-07</x:v>
      </x:c>
      <x:c r="B141" t="str">
        <x:v>TNDC-059</x:v>
      </x:c>
      <x:c r="C141" t="str">
        <x:v>UPDATE</x:v>
      </x:c>
      <x:c r="D141" t="str">
        <x:v>verification_class</x:v>
      </x:c>
      <x:c r="E141" t="str">
        <x:v>review</x:v>
      </x:c>
      <x:c r="F141" t="str">
        <x:v>confirmed</x:v>
      </x:c>
      <x:c r="G141" t="str">
        <x:v>../model/data/metadata/review_queue_research_ledger.csv</x:v>
      </x:c>
      <x:c r="H141" t="str">
        <x:v>Facility-facing 4280 address and broader-site 4300 permit address are explicitly distinguished.</x:v>
      </x:c>
    </x:row>
    <x:row r="142">
      <x:c r="A142" t="str">
        <x:v>2026-09-07</x:v>
      </x:c>
      <x:c r="B142" t="str">
        <x:v>TNCAND-005</x:v>
      </x:c>
      <x:c r="C142" t="str">
        <x:v>UPDATE</x:v>
      </x:c>
      <x:c r="D142" t="str">
        <x:v>review_note</x:v>
      </x:c>
      <x:c r="E142" t="str">
        <x:v>prior note</x:v>
      </x:c>
      <x:c r="F142" t="str">
        <x:v>current evidence limit recorded</x:v>
      </x:c>
      <x:c r="G142" t="str">
        <x:v>../model/data/metadata/review_queue_research_ledger.csv</x:v>
      </x:c>
      <x:c r="H142" t="str">
        <x:v>Not promoted without current operating confirmation.</x:v>
      </x:c>
    </x:row>
    <x:row r="143">
      <x:c r="A143" t="str">
        <x:v>2026-09-07</x:v>
      </x:c>
      <x:c r="B143" t="str">
        <x:v>TNCAND-006</x:v>
      </x:c>
      <x:c r="C143" t="str">
        <x:v>UPDATE</x:v>
      </x:c>
      <x:c r="D143" t="str">
        <x:v>latitude|longitude</x:v>
      </x:c>
      <x:c r="E143" t="str">
        <x:v>market pin</x:v>
      </x:c>
      <x:c r="F143" t="str">
        <x:v>blank</x:v>
      </x:c>
      <x:c r="G143" t="str">
        <x:v>../model/data/metadata/review_queue_research_ledger.csv</x:v>
      </x:c>
      <x:c r="H143" t="str">
        <x:v>No public parcel; remove physically inconsistent point from spatial use.</x:v>
      </x:c>
    </x:row>
    <x:row r="144">
      <x:c r="A144" t="str">
        <x:v>2026-09-07</x:v>
      </x:c>
      <x:c r="B144" t="str">
        <x:v>TNCAND-012</x:v>
      </x:c>
      <x:c r="C144" t="str">
        <x:v>UPDATE</x:v>
      </x:c>
      <x:c r="D144" t="str">
        <x:v>candidate_type</x:v>
      </x:c>
      <x:c r="E144" t="str">
        <x:v>unresolved_duplicate_or_new_facility</x:v>
      </x:c>
      <x:c r="F144" t="str">
        <x:v>linked_master_evidence</x:v>
      </x:c>
      <x:c r="G144" t="str">
        <x:v>../model/data/metadata/review_queue_research_ledger.csv</x:v>
      </x:c>
      <x:c r="H144" t="str">
        <x:v>Shared address links this evidence to TNDC-038.</x:v>
      </x:c>
    </x:row>
    <x:row r="145">
      <x:c r="A145" t="str">
        <x:v>2026-09-07</x:v>
      </x:c>
      <x:c r="B145" t="str">
        <x:v>TNCAND-013–016</x:v>
      </x:c>
      <x:c r="C145" t="str">
        <x:v>UPDATE</x:v>
      </x:c>
      <x:c r="D145" t="str">
        <x:v>review_note</x:v>
      </x:c>
      <x:c r="E145" t="str">
        <x:v>legacy status unclear</x:v>
      </x:c>
      <x:c r="F145" t="str">
        <x:v>primary-evidence requirement recorded</x:v>
      </x:c>
      <x:c r="G145" t="str">
        <x:v>../model/data/metadata/review_queue_research_ledger.csv</x:v>
      </x:c>
      <x:c r="H145" t="str">
        <x:v>Retained as candidates; do not promote from directory evidence alone.</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+ 16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16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2026-09-03-deduplicated</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closed_with_evidence</x:v>
      </x:c>
      <x:c r="D2" s="85" t="str">
        <x:v>Resolved in 2026-09-07 review: TNDC-006</x:v>
      </x:c>
      <x:c r="E2" s="85" t="str">
        <x:v>No open action for this dataset version. Evidence and disposition: ../model/data/metadata/review_queue_research_ledger.csv</x:v>
      </x:c>
      <x:c r="F2" s="85" t="str">
        <x:v>multiple public sources; local contradiction</x:v>
      </x:c>
      <x:c r="G2" s="85" t="str">
        <x:v>closed</x:v>
      </x:c>
    </x:row>
    <x:row r="3">
      <x:c r="A3" s="85" t="str">
        <x:v>TNDC-023</x:v>
      </x:c>
      <x:c r="B3" s="85" t="str">
        <x:v>Hixson Data Center (McMinnville)</x:v>
      </x:c>
      <x:c r="C3" s="85" t="str">
        <x:v>closed_with_evidence</x:v>
      </x:c>
      <x:c r="D3" s="85" t="str">
        <x:v>Resolved in 2026-09-07 review: TNDC-023</x:v>
      </x:c>
      <x:c r="E3" s="85" t="str">
        <x:v>No open action for this dataset version. Evidence and disposition: ../model/data/metadata/review_queue_research_ledger.csv</x:v>
      </x:c>
      <x:c r="F3" s="85" t="str">
        <x:v>source coordinate conflict retained</x:v>
      </x:c>
      <x:c r="G3" s="85" t="str">
        <x:v>closed</x:v>
      </x:c>
    </x:row>
    <x:row r="4">
      <x:c r="A4" s="85" t="str">
        <x:v>Retired TNDC-025</x:v>
      </x:c>
      <x:c r="B4" s="85" t="str">
        <x:v>Generic Colossus source identity</x:v>
      </x:c>
      <x:c r="C4" s="85" t="str">
        <x:v>closed_with_evidence</x:v>
      </x:c>
      <x:c r="D4" s="85" t="str">
        <x:v>Resolved in 2026-09-07 review: Retired TNDC-025</x:v>
      </x:c>
      <x:c r="E4" s="85" t="str">
        <x:v>No open action for this dataset version. Evidence and disposition: ../model/data/metadata/review_queue_research_ledger.csv</x:v>
      </x:c>
      <x:c r="F4" s="85" t="str">
        <x:v>all source records and URLs retained</x:v>
      </x:c>
      <x:c r="G4" s="85" t="str">
        <x:v>closed</x:v>
      </x:c>
    </x:row>
    <x:row r="5">
      <x:c r="A5" s="85" t="str">
        <x:v>TNDC-037</x:v>
      </x:c>
      <x:c r="B5" s="85" t="str">
        <x:v>Level(3)/Lumen Nashville (Sidco)</x:v>
      </x:c>
      <x:c r="C5" s="85" t="str">
        <x:v>closed_with_evidence</x:v>
      </x:c>
      <x:c r="D5" s="85" t="str">
        <x:v>Resolved in 2026-09-07 review: TNDC-037</x:v>
      </x:c>
      <x:c r="E5" s="85" t="str">
        <x:v>No open action for this dataset version. Evidence and disposition: ../model/data/metadata/review_queue_research_ledger.csv</x:v>
      </x:c>
      <x:c r="F5" s="85" t="str">
        <x:v>address contradiction</x:v>
      </x:c>
      <x:c r="G5" s="85" t="str">
        <x:v>closed</x:v>
      </x:c>
    </x:row>
    <x:row r="6">
      <x:c r="A6" s="85" t="str">
        <x:v>TNDC-039</x:v>
      </x:c>
      <x:c r="B6" s="85" t="str">
        <x:v>Quantum Leap Data Center / Fisk University</x:v>
      </x:c>
      <x:c r="C6" s="85" t="str">
        <x:v>closed_with_evidence</x:v>
      </x:c>
      <x:c r="D6" s="85" t="str">
        <x:v>Resolved in 2026-09-07 review: TNDC-039</x:v>
      </x:c>
      <x:c r="E6" s="85" t="str">
        <x:v>No open action for this dataset version. Evidence and disposition: ../model/data/metadata/review_queue_research_ledger.csv</x:v>
      </x:c>
      <x:c r="F6" s="85" t="str">
        <x:v>project verified; operator unresolved</x:v>
      </x:c>
      <x:c r="G6" s="85" t="str">
        <x:v>closed</x:v>
      </x:c>
    </x:row>
    <x:row r="7">
      <x:c r="A7" s="85" t="str">
        <x:v>TNDC-002</x:v>
      </x:c>
      <x:c r="B7" s="85" t="str">
        <x:v>CleanSpark Crossville pair</x:v>
      </x:c>
      <x:c r="C7" s="85" t="str">
        <x:v>closed_with_evidence</x:v>
      </x:c>
      <x:c r="D7" s="85" t="str">
        <x:v>Resolved in 2026-09-07 review: TNDC-002</x:v>
      </x:c>
      <x:c r="E7" s="85" t="str">
        <x:v>No open action for this dataset version. Evidence and disposition: ../model/data/metadata/review_queue_research_ledger.csv</x:v>
      </x:c>
      <x:c r="F7" s="85" t="str">
        <x:v>DataCenterMap market page retained in both records</x:v>
      </x:c>
      <x:c r="G7" s="85" t="str">
        <x:v>closed</x:v>
      </x:c>
    </x:row>
    <x:row r="8">
      <x:c r="A8" s="85" t="str">
        <x:v>TNDC-059</x:v>
      </x:c>
      <x:c r="B8" s="85" t="str">
        <x:v>5C MEM01</x:v>
      </x:c>
      <x:c r="C8" s="85" t="str">
        <x:v>closed_with_evidence</x:v>
      </x:c>
      <x:c r="D8" s="85" t="str">
        <x:v>Resolved in 2026-09-07 review: TNDC-059</x:v>
      </x:c>
      <x:c r="E8" s="85" t="str">
        <x:v>No open action for this dataset version. Evidence and disposition: ../model/data/metadata/review_queue_research_ledger.csv</x:v>
      </x:c>
      <x:c r="F8" s="85" t="str">
        <x:v>official and industry sources retained</x:v>
      </x:c>
      <x:c r="G8" s="85" t="str">
        <x:v>closed</x:v>
      </x:c>
    </x:row>
    <x:row r="9">
      <x:c r="A9" s="85" t="str">
        <x:v>TNCAND-005</x:v>
      </x:c>
      <x:c r="B9" s="85" t="str">
        <x:v>GRIID Jackson 60 MW Project</x:v>
      </x:c>
      <x:c r="C9" s="85" t="str">
        <x:v>closed_with_evidence</x:v>
      </x:c>
      <x:c r="D9" s="85" t="str">
        <x:v>Resolved in 2026-09-07 review: TNCAND-005</x:v>
      </x:c>
      <x:c r="E9" s="85" t="str">
        <x:v>No open action for this dataset version. Evidence and disposition: ../model/data/metadata/review_queue_research_ledger.csv</x:v>
      </x:c>
      <x:c r="F9" s="85" t="str">
        <x:v>announcement, acquisition, and SEC records retained</x:v>
      </x:c>
      <x:c r="G9" s="85" t="str">
        <x:v>closed</x:v>
      </x:c>
    </x:row>
    <x:row r="10">
      <x:c r="A10" s="85" t="str">
        <x:v>TNCAND-006</x:v>
      </x:c>
      <x:c r="B10" s="85" t="str">
        <x:v>Atmosphere Nashville Campus</x:v>
      </x:c>
      <x:c r="C10" s="85" t="str">
        <x:v>closed_with_evidence</x:v>
      </x:c>
      <x:c r="D10" s="85" t="str">
        <x:v>Resolved in 2026-09-07 review: TNCAND-006</x:v>
      </x:c>
      <x:c r="E10" s="85" t="str">
        <x:v>No open action for this dataset version. Evidence and disposition: ../model/data/metadata/review_queue_research_ledger.csv</x:v>
      </x:c>
      <x:c r="F10" s="85" t="str">
        <x:v>developer and trade reporting retained</x:v>
      </x:c>
      <x:c r="G10" s="85" t="str">
        <x:v>closed</x:v>
      </x:c>
    </x:row>
    <x:row r="11">
      <x:c r="A11" s="85" t="str">
        <x:v>TNCAND-012</x:v>
      </x:c>
      <x:c r="B11" s="85" t="str">
        <x:v>Scipio NREP Listing</x:v>
      </x:c>
      <x:c r="C11" s="85" t="str">
        <x:v>closed_with_evidence</x:v>
      </x:c>
      <x:c r="D11" s="85" t="str">
        <x:v>Resolved in 2026-09-07 review: TNCAND-012</x:v>
      </x:c>
      <x:c r="E11" s="85" t="str">
        <x:v>No open action for this dataset version. Evidence and disposition: ../model/data/metadata/review_queue_research_ledger.csv</x:v>
      </x:c>
      <x:c r="F11" s="85" t="str">
        <x:v>market directory and operator support page retained</x:v>
      </x:c>
      <x:c r="G11" s="85" t="str">
        <x:v>closed</x:v>
      </x:c>
    </x:row>
    <x:row r="12">
      <x:c r="A12" s="85" t="str">
        <x:v>TNCAND-013–016</x:v>
      </x:c>
      <x:c r="B12" s="85" t="str">
        <x:v>Legacy operational listings</x:v>
      </x:c>
      <x:c r="C12" s="85" t="str">
        <x:v>closed_with_evidence</x:v>
      </x:c>
      <x:c r="D12" s="85" t="str">
        <x:v>Resolved in 2026-09-07 review: TNCAND-013–016</x:v>
      </x:c>
      <x:c r="E12" s="85" t="str">
        <x:v>No open action for this dataset version. Evidence and disposition: ../model/data/metadata/review_queue_research_ledger.csv</x:v>
      </x:c>
      <x:c r="F12" s="85" t="str">
        <x:v>all supporting URLs retained in Candidate_Sites</x:v>
      </x:c>
      <x:c r="G12" s="85" t="str">
        <x:v>closed</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unconfirmed_project_and_exact_site</x:v>
      </x:c>
      <x:c r="K7" s="85" t="str">
        <x:v>EXCLUDED_UNCONFIRMED</x:v>
      </x:c>
      <x:c r="L7" s="85" t="str">
        <x:v>Cielo is retained for source traceability only; local reporting conflicts with market listings. Excluded from confirmed spatial presence.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v>exact_parcel</x:v>
      </x:c>
      <x:c r="K24" s="85" t="str">
        <x:v>APPROXIMATE_VICINITY</x:v>
      </x:c>
      <x:c r="L24" s="85" t="str">
        <x:v>Hixson confirms McMinnville/Warren County but has not published a parcel. 191 Industrial Dr is a local-reporting vicinity only.</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2990 Sidco Drive</x:v>
      </x:c>
      <x:c r="F37" s="85" t="n">
        <x:v>36.102726</x:v>
      </x:c>
      <x:c r="G37" s="85" t="n">
        <x:v>-86.755786</x:v>
      </x:c>
      <x:c r="H37" s="85" t="str">
        <x:v>address_or_site</x:v>
      </x:c>
      <x:c r="I37" s="85" t="str">
        <x:v>high</x:v>
      </x:c>
      <x:c r="J37" s="85" t="str"/>
      <x:c r="K37" s="85" t="str">
        <x:v>ADDRESS_CANONICALIZED</x:v>
      </x:c>
      <x:c r="L37" s="85" t="str">
        <x:v>Lumen current route list uses 2990 Sidco Drive; 2992 is retained as an adjacent legacy-directory discrepancy.</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ADDRESS_CONTEXT_RESOLVED</x:v>
      </x:c>
      <x:c r="L59" s="85" t="str">
        <x:v>4280 Getwell Rd remains the facility-facing address; 4300 Getwell Rd is related broader-site permit/property evidence.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str"/>
      <x:c r="G67" s="85" t="str"/>
      <x:c r="H67" s="85" t="str">
        <x:v>area_or_city</x:v>
      </x:c>
      <x:c r="I67" s="85" t="str">
        <x:v>low</x:v>
      </x:c>
      <x:c r="J67" s="85" t="str">
        <x:v>exact_site|latitude|longitude</x:v>
      </x:c>
      <x:c r="K67" s="85" t="str">
        <x:v>MARKET_ONLY</x:v>
      </x:c>
      <x:c r="L67" s="85" t="str">
        <x:v>Developer discloses Nashville project but no site. Removed the physically inconsistent market pin from spatial use.</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t="str">
        <x:v>1661 Murfreesboro Pike</x:v>
      </x:c>
      <x:c r="F73" s="85"/>
      <x:c r="G73" s="85"/>
      <x:c r="H73" s="85" t="str">
        <x:v>address_or_site</x:v>
      </x:c>
      <x:c r="I73" s="85" t="str">
        <x:v>high</x:v>
      </x:c>
      <x:c r="J73" s="85" t="str">
        <x:v>none_linked_duplicate</x:v>
      </x:c>
      <x:c r="K73" s="85" t="str">
        <x:v>LINKED_TO_MASTER</x:v>
      </x:c>
      <x:c r="L73" s="85" t="str">
        <x:v>Shared public address links Scipio evidence to TNDC-038; not a distinct facility point.</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