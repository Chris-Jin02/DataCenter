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91d0ed14b542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fb07f56fc494a1b"/>
    <x:sheet xmlns:r="http://schemas.openxmlformats.org/officeDocument/2006/relationships" name="Summary" sheetId="2" r:id="Rb85c8fa823b54d48"/>
    <x:sheet xmlns:r="http://schemas.openxmlformats.org/officeDocument/2006/relationships" name="Master" sheetId="3" r:id="Re9456f7127fc4ea5"/>
    <x:sheet xmlns:r="http://schemas.openxmlformats.org/officeDocument/2006/relationships" name="Raw_Aligned" sheetId="4" r:id="R38c457247a464158"/>
    <x:sheet xmlns:r="http://schemas.openxmlformats.org/officeDocument/2006/relationships" name="Match_Audit" sheetId="5" r:id="Rdb95daf44fce4da9"/>
    <x:sheet xmlns:r="http://schemas.openxmlformats.org/officeDocument/2006/relationships" name="Review_Pairs" sheetId="6" r:id="Rb10901c889654f05"/>
    <x:sheet xmlns:r="http://schemas.openxmlformats.org/officeDocument/2006/relationships" name="Excluded_Support" sheetId="7" r:id="Redfa046b3a384343"/>
    <x:sheet xmlns:r="http://schemas.openxmlformats.org/officeDocument/2006/relationships" name="Field_Map" sheetId="8" r:id="Rbb2c7329801e4bec"/>
    <x:sheet xmlns:r="http://schemas.openxmlformats.org/officeDocument/2006/relationships" name="Candidate_Sites" sheetId="9" r:id="Rcd9fae1d07c64acf"/>
    <x:sheet xmlns:r="http://schemas.openxmlformats.org/officeDocument/2006/relationships" name="Change_Log" sheetId="10" r:id="R86285211c5254a55"/>
    <x:sheet xmlns:r="http://schemas.openxmlformats.org/officeDocument/2006/relationships" name="Proposal_Readiness" sheetId="11" r:id="R1c82a317f0884c12"/>
    <x:sheet xmlns:r="http://schemas.openxmlformats.org/officeDocument/2006/relationships" name="Review_Queue" sheetId="12" r:id="R6a4fc9fef0ff4e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#,##0.0"/>
    <x:numFmt numFmtId="201" formatCode="0.000000"/>
    <x:numFmt numFmtId="202" formatCode="0.0000"/>
    <x:numFmt numFmtId="203" formatCode="$#,##0"/>
    <x:numFmt numFmtId="204" formatCode="#,##0"/>
    <x:numFmt numFmtId="205" formatCode="yyyy-mm-dd hh:mm"/>
    <x:numFmt numFmtId="206" formatCode="0.000"/>
    <x:numFmt numFmtId="207" formatCode="0.00"/>
    <x:numFmt numFmtId="208" formatCode="0"/>
  </x:numFmts>
  <x:fonts count="9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b/>
      <x:sz val="11"/>
      <x:color rgb="FF16324F"/>
      <x:name val="Carlito"/>
    </x:font>
    <x:font>
      <x:b/>
      <x:sz val="17"/>
      <x:color rgb="FFFFFFFF"/>
      <x:name val="Carlito"/>
    </x:font>
    <x:font>
      <x:b/>
      <x:sz val="16"/>
      <x:color rgb="FFFFFFFF"/>
      <x:name val="Carlito"/>
    </x:font>
    <x:font>
      <x:b/>
      <x:sz val="14"/>
      <x:name val="Carlito"/>
    </x:font>
    <x:font>
      <x:b/>
      <x:sz val="11"/>
      <x:color rgb="FF153B5B"/>
      <x:name val="Carlito"/>
    </x:font>
    <x:font>
      <x:b/>
      <x:sz val="11"/>
      <x:color rgb="FF7A4E00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FF2CC"/>
      </x:patternFill>
    </x:fill>
    <x:fill>
      <x:patternFill patternType="solid">
        <x:fgColor rgb="FF2F6690"/>
      </x:patternFill>
    </x:fill>
    <x:fill>
      <x:patternFill patternType="solid">
        <x:fgColor rgb="FFD9EAF7"/>
      </x:patternFill>
    </x:fill>
    <x:fill>
      <x:patternFill patternType="solid">
        <x:fgColor rgb="FF5B8DB8"/>
      </x:patternFill>
    </x:fill>
    <x:fill>
      <x:patternFill patternType="solid">
        <x:fgColor rgb="FF153B5B"/>
      </x:patternFill>
    </x:fill>
    <x:fill>
      <x:patternFill patternType="solid">
        <x:fgColor rgb="FF1E5B84"/>
      </x:patternFill>
    </x:fill>
    <x:fill>
      <x:patternFill patternType="solid">
        <x:fgColor rgb="FFF3F7FA"/>
      </x:patternFill>
    </x:fill>
    <x:fill>
      <x:patternFill patternType="solid">
        <x:fgColor rgb="FFD9E8F2"/>
      </x:patternFill>
    </x:fill>
    <x:fill>
      <x:patternFill patternType="solid">
        <x:fgColor rgb="FFFFF4D6"/>
      </x:patternFill>
    </x:fill>
    <x:fill>
      <x:patternFill patternType="solid">
        <x:fgColor rgb="FF1F4E78"/>
      </x:patternFill>
    </x:fill>
  </x:fills>
  <x:borders count="14">
    <x:border/>
    <x:border>
      <x:left style="thin">
        <x:color rgb="FF0F2236"/>
      </x:left>
      <x:top style="thin">
        <x:color rgb="FF0F2236"/>
      </x:top>
      <x:bottom style="thin">
        <x:color rgb="FF0F2236"/>
      </x:bottom>
    </x:border>
    <x:border>
      <x:top style="thin">
        <x:color rgb="FF0F2236"/>
      </x:top>
      <x:bottom style="thin">
        <x:color rgb="FF0F2236"/>
      </x:bottom>
    </x:border>
    <x:border>
      <x:right style="thin">
        <x:color rgb="FF0F2236"/>
      </x:right>
      <x:top style="thin">
        <x:color rgb="FF0F2236"/>
      </x:top>
      <x:bottom style="thin">
        <x:color rgb="FF0F2236"/>
      </x:bottom>
    </x:border>
    <x:border>
      <x:right style="thin">
        <x:color rgb="FFE6EBF0"/>
      </x:right>
      <x:bottom style="thin">
        <x:color rgb="FFE6EBF0"/>
      </x:bottom>
    </x:border>
    <x:border>
      <x:left style="thin">
        <x:color rgb="FFE6EBF0"/>
      </x:left>
      <x:right style="thin">
        <x:color rgb="FFE6EBF0"/>
      </x:right>
      <x:bottom style="thin">
        <x:color rgb="FFE6EBF0"/>
      </x:bottom>
    </x:border>
    <x:border>
      <x:left style="thin">
        <x:color rgb="FFE6EBF0"/>
      </x:left>
      <x:bottom style="thin">
        <x:color rgb="FFE6EBF0"/>
      </x:bottom>
    </x:border>
    <x:border>
      <x:right style="thin">
        <x:color rgb="FFE6EBF0"/>
      </x:right>
      <x:top style="thin">
        <x:color rgb="FFE6EBF0"/>
      </x:top>
      <x:bottom style="thin">
        <x:color rgb="FFE6EBF0"/>
      </x:bottom>
    </x:border>
    <x:border>
      <x:left style="thin">
        <x:color rgb="FFE6EBF0"/>
      </x:left>
      <x:right style="thin">
        <x:color rgb="FFE6EBF0"/>
      </x:right>
      <x:top style="thin">
        <x:color rgb="FFE6EBF0"/>
      </x:top>
      <x:bottom style="thin">
        <x:color rgb="FFE6EBF0"/>
      </x:bottom>
    </x:border>
    <x:border>
      <x:left style="thin">
        <x:color rgb="FFE6EBF0"/>
      </x:left>
      <x:top style="thin">
        <x:color rgb="FFE6EBF0"/>
      </x:top>
      <x:bottom style="thin">
        <x:color rgb="FFE6EBF0"/>
      </x:bottom>
    </x:border>
    <x:border>
      <x:right style="thin">
        <x:color rgb="FFE6EBF0"/>
      </x:right>
      <x:top style="thin">
        <x:color rgb="FFE6EBF0"/>
      </x:top>
    </x:border>
    <x:border>
      <x:left style="thin">
        <x:color rgb="FFE6EBF0"/>
      </x:left>
      <x:right style="thin">
        <x:color rgb="FFE6EBF0"/>
      </x:right>
      <x:top style="thin">
        <x:color rgb="FFE6EBF0"/>
      </x:top>
    </x:border>
    <x:border>
      <x:left style="thin">
        <x:color rgb="FFE6EBF0"/>
      </x:left>
      <x:top style="thin">
        <x:color rgb="FFE6EBF0"/>
      </x:top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</x:borders>
  <x:cellStyleXfs count="1">
    <x:xf numFmtId="0" fontId="0" fillId="0" borderId="0"/>
  </x:cellStyleXfs>
  <x:cellXfs count="1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0" fillId="0" borderId="7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0" fillId="0" borderId="10" xfId="0" applyNumberFormat="1" applyFont="1" applyFill="1" applyBorder="1" applyAlignment="1">
      <x:alignment vertical="top"/>
    </x:xf>
    <x:xf numFmtId="0" fontId="0" fillId="0" borderId="11" xfId="0" applyNumberFormat="1" applyFont="1" applyFill="1" applyBorder="1" applyAlignment="1">
      <x:alignment vertical="top"/>
    </x:xf>
    <x:xf numFmtId="0" fontId="0" fillId="0" borderId="12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/>
    </x:xf>
    <x:xf numFmtId="200" fontId="0" fillId="0" borderId="8" xfId="0" applyNumberFormat="1" applyFont="1" applyFill="1" applyBorder="1" applyAlignment="1">
      <x:alignment vertical="top"/>
    </x:xf>
    <x:xf numFmtId="200" fontId="0" fillId="0" borderId="11" xfId="0" applyNumberFormat="1" applyFont="1" applyFill="1" applyBorder="1" applyAlignment="1">
      <x:alignment vertical="top"/>
    </x:xf>
    <x:xf numFmtId="201" fontId="0" fillId="0" borderId="5" xfId="0" applyNumberFormat="1" applyFont="1" applyFill="1" applyBorder="1" applyAlignment="1">
      <x:alignment vertical="top"/>
    </x:xf>
    <x:xf numFmtId="201" fontId="0" fillId="0" borderId="8" xfId="0" applyNumberFormat="1" applyFont="1" applyFill="1" applyBorder="1" applyAlignment="1">
      <x:alignment vertical="top"/>
    </x:xf>
    <x:xf numFmtId="201" fontId="0" fillId="0" borderId="11" xfId="0" applyNumberFormat="1" applyFont="1" applyFill="1" applyBorder="1" applyAlignment="1">
      <x:alignment vertical="top"/>
    </x:xf>
    <x:xf numFmtId="202" fontId="0" fillId="0" borderId="5" xfId="0" applyNumberFormat="1" applyFont="1" applyFill="1" applyBorder="1" applyAlignment="1">
      <x:alignment vertical="top"/>
    </x:xf>
    <x:xf numFmtId="202" fontId="0" fillId="0" borderId="8" xfId="0" applyNumberFormat="1" applyFont="1" applyFill="1" applyBorder="1" applyAlignment="1">
      <x:alignment vertical="top"/>
    </x:xf>
    <x:xf numFmtId="202" fontId="0" fillId="0" borderId="11" xfId="0" applyNumberFormat="1" applyFont="1" applyFill="1" applyBorder="1" applyAlignment="1">
      <x:alignment vertical="top"/>
    </x:xf>
    <x:xf numFmtId="203" fontId="0" fillId="0" borderId="5" xfId="0" applyNumberFormat="1" applyFont="1" applyFill="1" applyBorder="1" applyAlignment="1">
      <x:alignment vertical="top"/>
    </x:xf>
    <x:xf numFmtId="203" fontId="0" fillId="0" borderId="8" xfId="0" applyNumberFormat="1" applyFont="1" applyFill="1" applyBorder="1" applyAlignment="1">
      <x:alignment vertical="top"/>
    </x:xf>
    <x:xf numFmtId="203" fontId="0" fillId="0" borderId="11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202" fontId="0" fillId="0" borderId="5" xfId="0" applyNumberFormat="1" applyFont="1" applyFill="1" applyBorder="1" applyAlignment="1">
      <x:alignment vertical="top" wrapText="1"/>
    </x:xf>
    <x:xf numFmtId="202" fontId="0" fillId="0" borderId="8" xfId="0" applyNumberFormat="1" applyFont="1" applyFill="1" applyBorder="1" applyAlignment="1">
      <x:alignment vertical="top" wrapText="1"/>
    </x:xf>
    <x:xf numFmtId="202" fontId="0" fillId="0" borderId="11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3" borderId="5" xfId="0" applyNumberFormat="1" applyFont="1" applyFill="1" applyBorder="1" applyAlignment="1">
      <x:alignment vertical="top"/>
    </x:xf>
    <x:xf numFmtId="0" fontId="0" fillId="3" borderId="11" xfId="0" applyNumberFormat="1" applyFont="1" applyFill="1" applyBorder="1" applyAlignment="1">
      <x:alignment vertical="top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4" borderId="13" xfId="0" applyNumberFormat="1" applyFont="1" applyFill="1" applyBorder="1"/>
    <x:xf numFmtId="0" fontId="0" fillId="0" borderId="13" xfId="0" applyNumberFormat="1" applyFont="1" applyFill="1" applyBorder="1"/>
    <x:xf numFmtId="0" fontId="3" fillId="5" borderId="13" xfId="0" applyNumberFormat="1" applyFont="1" applyFill="1" applyBorder="1"/>
    <x:xf numFmtId="0" fontId="1" fillId="6" borderId="13" xfId="0" applyNumberFormat="1" applyFont="1" applyFill="1" applyBorder="1"/>
    <x:xf numFmtId="204" fontId="0" fillId="0" borderId="13" xfId="0" applyNumberFormat="1" applyFont="1" applyFill="1" applyBorder="1"/>
    <x:xf numFmtId="0" fontId="1" fillId="4" borderId="13" xfId="0" applyNumberFormat="1" applyFont="1" applyFill="1" applyBorder="1" applyAlignment="1">
      <x:alignment vertical="top"/>
    </x:xf>
    <x:xf numFmtId="0" fontId="0" fillId="0" borderId="13" xfId="0" applyNumberFormat="1" applyFont="1" applyFill="1" applyBorder="1" applyAlignment="1">
      <x:alignment vertical="top"/>
    </x:xf>
    <x:xf numFmtId="204" fontId="0" fillId="0" borderId="13" xfId="0" applyNumberFormat="1" applyFont="1" applyFill="1" applyBorder="1" applyAlignment="1">
      <x:alignment vertical="top"/>
    </x:xf>
    <x:xf numFmtId="0" fontId="3" fillId="5" borderId="13" xfId="0" applyNumberFormat="1" applyFont="1" applyFill="1" applyBorder="1" applyAlignment="1">
      <x:alignment vertical="top"/>
    </x:xf>
    <x:xf numFmtId="0" fontId="1" fillId="6" borderId="13" xfId="0" applyNumberFormat="1" applyFont="1" applyFill="1" applyBorder="1" applyAlignment="1">
      <x:alignment vertical="top"/>
    </x:xf>
    <x:xf numFmtId="0" fontId="0" fillId="0" borderId="13" xfId="0" applyNumberFormat="1" applyFont="1" applyFill="1" applyBorder="1" applyAlignment="1">
      <x:alignment vertical="top" wrapText="1"/>
    </x:xf>
    <x:xf numFmtId="0" fontId="1" fillId="6" borderId="1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top" wrapText="1"/>
    </x:xf>
    <x:xf numFmtId="0" fontId="1" fillId="4" borderId="13" xfId="0" applyNumberFormat="1" applyFont="1" applyFill="1" applyBorder="1" applyAlignment="1">
      <x:alignment vertical="top" wrapText="1"/>
    </x:xf>
    <x:xf numFmtId="205" fontId="0" fillId="0" borderId="13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6" fontId="0" fillId="0" borderId="5" xfId="0" applyNumberFormat="1" applyFont="1" applyFill="1" applyBorder="1" applyAlignment="1">
      <x:alignment vertical="top"/>
    </x:xf>
    <x:xf numFmtId="206" fontId="0" fillId="0" borderId="8" xfId="0" applyNumberFormat="1" applyFont="1" applyFill="1" applyBorder="1" applyAlignment="1">
      <x:alignment vertical="top"/>
    </x:xf>
    <x:xf numFmtId="206" fontId="0" fillId="0" borderId="11" xfId="0" applyNumberFormat="1" applyFont="1" applyFill="1" applyBorder="1" applyAlignment="1">
      <x:alignment vertical="top"/>
    </x:xf>
    <x:xf numFmtId="207" fontId="0" fillId="0" borderId="5" xfId="0" applyNumberFormat="1" applyFont="1" applyFill="1" applyBorder="1" applyAlignment="1">
      <x:alignment vertical="top"/>
    </x:xf>
    <x:xf numFmtId="207" fontId="0" fillId="0" borderId="8" xfId="0" applyNumberFormat="1" applyFont="1" applyFill="1" applyBorder="1" applyAlignment="1">
      <x:alignment vertical="top"/>
    </x:xf>
    <x:xf numFmtId="207" fontId="0" fillId="0" borderId="11" xfId="0" applyNumberFormat="1" applyFont="1" applyFill="1" applyBorder="1" applyAlignment="1">
      <x:alignment vertical="top"/>
    </x:xf>
    <x:xf numFmtId="208" fontId="0" fillId="0" borderId="5" xfId="0" applyNumberFormat="1" applyFont="1" applyFill="1" applyBorder="1" applyAlignment="1">
      <x:alignment vertical="top"/>
    </x:xf>
    <x:xf numFmtId="208" fontId="0" fillId="0" borderId="8" xfId="0" applyNumberFormat="1" applyFont="1" applyFill="1" applyBorder="1" applyAlignment="1">
      <x:alignment vertical="top"/>
    </x:xf>
    <x:xf numFmtId="208" fontId="0" fillId="0" borderId="11" xfId="0" applyNumberFormat="1" applyFont="1" applyFill="1" applyBorder="1" applyAlignment="1">
      <x:alignment vertical="top"/>
    </x:xf>
    <x:xf numFmtId="208" fontId="0" fillId="0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left"/>
    </x:xf>
    <x:xf numFmtId="0" fontId="5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horizontal="center" wrapText="1"/>
    </x:xf>
    <x:xf numFmtId="0" fontId="1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center" wrapText="1"/>
    </x:xf>
    <x:xf numFmtId="0" fontId="6" fillId="0" borderId="0" xfId="0" applyNumberFormat="1" applyFont="1" applyFill="1" applyBorder="1" applyAlignment="1">
      <x:alignment horizontal="center" wrapText="1"/>
    </x:xf>
    <x:xf numFmtId="0" fontId="6" fillId="9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horizontal="center" wrapText="1"/>
    </x:xf>
    <x:xf numFmtId="0" fontId="1" fillId="12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271f10ea634ef0" /><Relationship Type="http://schemas.openxmlformats.org/officeDocument/2006/relationships/theme" Target="/xl/theme/theme1.xml" Id="R6dccdeb825464046" /><Relationship Type="http://schemas.microsoft.com/office/2022/11/relationships/FeaturePropertyBag" Target="/xl/featurePropertyBag/featurePropertyBag.xml" Id="R57d38badf4d249b2" /><Relationship Type="http://schemas.openxmlformats.org/officeDocument/2006/relationships/sharedStrings" Target="/xl/sharedStrings.xml" Id="Rbfed9ecaa2f74b63" /><Relationship Type="http://schemas.openxmlformats.org/officeDocument/2006/relationships/worksheet" Target="/xl/worksheets/sheet1.xml" Id="R9fb07f56fc494a1b" /><Relationship Type="http://schemas.openxmlformats.org/officeDocument/2006/relationships/worksheet" Target="/xl/worksheets/sheet2.xml" Id="Rb85c8fa823b54d48" /><Relationship Type="http://schemas.openxmlformats.org/officeDocument/2006/relationships/worksheet" Target="/xl/worksheets/sheet3.xml" Id="Re9456f7127fc4ea5" /><Relationship Type="http://schemas.openxmlformats.org/officeDocument/2006/relationships/worksheet" Target="/xl/worksheets/sheet4.xml" Id="R38c457247a464158" /><Relationship Type="http://schemas.openxmlformats.org/officeDocument/2006/relationships/worksheet" Target="/xl/worksheets/sheet5.xml" Id="Rdb95daf44fce4da9" /><Relationship Type="http://schemas.openxmlformats.org/officeDocument/2006/relationships/worksheet" Target="/xl/worksheets/sheet6.xml" Id="Rb10901c889654f05" /><Relationship Type="http://schemas.openxmlformats.org/officeDocument/2006/relationships/worksheet" Target="/xl/worksheets/sheet7.xml" Id="Redfa046b3a384343" /><Relationship Type="http://schemas.openxmlformats.org/officeDocument/2006/relationships/worksheet" Target="/xl/worksheets/sheet8.xml" Id="Rbb2c7329801e4bec" /><Relationship Type="http://schemas.openxmlformats.org/officeDocument/2006/relationships/worksheet" Target="/xl/worksheets/sheet9.xml" Id="Rcd9fae1d07c64acf" /><Relationship Type="http://schemas.openxmlformats.org/officeDocument/2006/relationships/worksheet" Target="/xl/worksheets/sheet10.xml" Id="R86285211c5254a55" /><Relationship Type="http://schemas.openxmlformats.org/officeDocument/2006/relationships/worksheet" Target="/xl/worksheets/sheet11.xml" Id="R1c82a317f0884c12" /><Relationship Type="http://schemas.openxmlformats.org/officeDocument/2006/relationships/worksheet" Target="/xl/worksheets/sheet12.xml" Id="R6a4fc9fef0ff4e3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0" name="MasterTable" displayName="MasterTable" ref="A1:AO46" headerRowCount="1" totalsRowCount="0" totalsRowShown="0">
  <x:autoFilter ref="A1:AO46"/>
  <x:tableColumns count="41">
    <x:tableColumn id="1" name="facility_id"/>
    <x:tableColumn id="2" name="facility_name"/>
    <x:tableColumn id="3" name="operator"/>
    <x:tableColumn id="4" name="operators"/>
    <x:tableColumn id="5" name="address"/>
    <x:tableColumn id="6" name="city"/>
    <x:tableColumn id="7" name="county"/>
    <x:tableColumn id="8" name="state"/>
    <x:tableColumn id="9" name="postal_code"/>
    <x:tableColumn id="10" name="latitude"/>
    <x:tableColumn id="11" name="longitude"/>
    <x:tableColumn id="12" name="location_precision"/>
    <x:tableColumn id="13" name="location_confidence"/>
    <x:tableColumn id="14" name="coordinate_source_record"/>
    <x:tableColumn id="15" name="coordinate_max_spread_km"/>
    <x:tableColumn id="16" name="coordinate_conflict_flag"/>
    <x:tableColumn id="17" name="status_normalized"/>
    <x:tableColumn id="18" name="status_values"/>
    <x:tableColumn id="19" name="status_conflict_flag"/>
    <x:tableColumn id="20" name="facility_type"/>
    <x:tableColumn id="21" name="facility_type_values"/>
    <x:tableColumn id="22" name="analysis_scope"/>
    <x:tableColumn id="23" name="capacity_mw"/>
    <x:tableColumn id="24" name="square_feet"/>
    <x:tableColumn id="25" name="property_acres"/>
    <x:tableColumn id="26" name="investment_usd"/>
    <x:tableColumn id="27" name="sources"/>
    <x:tableColumn id="28" name="source_count"/>
    <x:tableColumn id="29" name="record_count"/>
    <x:tableColumn id="30" name="source_record_ids"/>
    <x:tableColumn id="31" name="evidence_urls"/>
    <x:tableColumn id="32" name="last_updated"/>
    <x:tableColumn id="33" name="verification_class"/>
    <x:tableColumn id="34" name="operator_status"/>
    <x:tableColumn id="35" name="independent_evidence_domain_count"/>
    <x:tableColumn id="36" name="cross_verified"/>
    <x:tableColumn id="37" name="source_confidence_score"/>
    <x:tableColumn id="38" name="source_confidence_class"/>
    <x:tableColumn id="39" name="verification_note"/>
    <x:tableColumn id="40" name="schema_version"/>
    <x:tableColumn id="41" name="dataset_vers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RawAlignedTable" displayName="RawAlignedTable" ref="A1:AR84" headerRowCount="1" totalsRowCount="0" totalsRowShown="0">
  <x:autoFilter ref="A1:AR84"/>
  <x:tableColumns count="44">
    <x:tableColumn id="1" name="source"/>
    <x:tableColumn id="2" name="source_record_id"/>
    <x:tableColumn id="3" name="facility_name"/>
    <x:tableColumn id="4" name="aliases"/>
    <x:tableColumn id="5" name="operator"/>
    <x:tableColumn id="6" name="tenant"/>
    <x:tableColumn id="7" name="address"/>
    <x:tableColumn id="8" name="address2"/>
    <x:tableColumn id="9" name="city"/>
    <x:tableColumn id="10" name="county"/>
    <x:tableColumn id="11" name="state"/>
    <x:tableColumn id="12" name="postal_code"/>
    <x:tableColumn id="13" name="latitude"/>
    <x:tableColumn id="14" name="longitude"/>
    <x:tableColumn id="15" name="location_precision"/>
    <x:tableColumn id="16" name="location_confidence"/>
    <x:tableColumn id="17" name="location_determination"/>
    <x:tableColumn id="18" name="status_raw"/>
    <x:tableColumn id="19" name="status_normalized"/>
    <x:tableColumn id="20" name="facility_type"/>
    <x:tableColumn id="21" name="purpose"/>
    <x:tableColumn id="22" name="capacity_mw"/>
    <x:tableColumn id="23" name="capacity_mw_low"/>
    <x:tableColumn id="24" name="capacity_mw_high"/>
    <x:tableColumn id="25" name="square_feet"/>
    <x:tableColumn id="26" name="property_acres"/>
    <x:tableColumn id="27" name="number_buildings"/>
    <x:tableColumn id="28" name="number_generators"/>
    <x:tableColumn id="29" name="investment_usd"/>
    <x:tableColumn id="30" name="power_source"/>
    <x:tableColumn id="31" name="cooling_source"/>
    <x:tableColumn id="32" name="cooling_type"/>
    <x:tableColumn id="33" name="expected_online"/>
    <x:tableColumn id="34" name="created_date"/>
    <x:tableColumn id="35" name="updated_date"/>
    <x:tableColumn id="36" name="evidence_urls"/>
    <x:tableColumn id="37" name="source_dataset_url"/>
    <x:tableColumn id="38" name="source_record_url"/>
    <x:tableColumn id="39" name="notes"/>
    <x:tableColumn id="40" name="scope_category"/>
    <x:tableColumn id="41" name="included_in_master"/>
    <x:tableColumn id="42" name="operator_normalized"/>
    <x:tableColumn id="43" name="name_normalized"/>
    <x:tableColumn id="44" name="address_normalize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tchAuditTable" displayName="MatchAuditTable" ref="A1:P41" headerRowCount="1" totalsRowCount="0" totalsRowShown="0">
  <x:autoFilter ref="A1:P41"/>
  <x:tableColumns count="16">
    <x:tableColumn id="1" name="left_record"/>
    <x:tableColumn id="2" name="right_record"/>
    <x:tableColumn id="3" name="left_name"/>
    <x:tableColumn id="4" name="right_name"/>
    <x:tableColumn id="5" name="left_operator"/>
    <x:tableColumn id="6" name="right_operator"/>
    <x:tableColumn id="7" name="left_city"/>
    <x:tableColumn id="8" name="right_city"/>
    <x:tableColumn id="9" name="distance_km"/>
    <x:tableColumn id="10" name="name_similarity"/>
    <x:tableColumn id="11" name="operator_similarity"/>
    <x:tableColumn id="12" name="address_exact"/>
    <x:tableColumn id="13" name="match_score"/>
    <x:tableColumn id="14" name="evidence"/>
    <x:tableColumn id="15" name="decision"/>
    <x:tableColumn id="16" name="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viewPairsTable" displayName="ReviewPairsTable" ref="A1:P3" headerRowCount="1" totalsRowCount="0" totalsRowShown="0">
  <x:autoFilter ref="A1:P3"/>
  <x:tableColumns count="16">
    <x:tableColumn id="1" name="left_record"/>
    <x:tableColumn id="2" name="right_record"/>
    <x:tableColumn id="3" name="left_name"/>
    <x:tableColumn id="4" name="right_name"/>
    <x:tableColumn id="5" name="left_operator"/>
    <x:tableColumn id="6" name="right_operator"/>
    <x:tableColumn id="7" name="left_city"/>
    <x:tableColumn id="8" name="right_city"/>
    <x:tableColumn id="9" name="distance_km"/>
    <x:tableColumn id="10" name="name_similarity"/>
    <x:tableColumn id="11" name="operator_similarity"/>
    <x:tableColumn id="12" name="address_exact"/>
    <x:tableColumn id="13" name="match_score"/>
    <x:tableColumn id="14" name="evidence"/>
    <x:tableColumn id="15" name="decision"/>
    <x:tableColumn id="16" name="rational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xcludedSupportTable" displayName="ExcludedSupportTable" ref="A1:AR3" headerRowCount="1" totalsRowCount="0" totalsRowShown="0">
  <x:autoFilter ref="A1:AR3"/>
  <x:tableColumns count="44">
    <x:tableColumn id="1" name="source"/>
    <x:tableColumn id="2" name="source_record_id"/>
    <x:tableColumn id="3" name="facility_name"/>
    <x:tableColumn id="4" name="aliases"/>
    <x:tableColumn id="5" name="operator"/>
    <x:tableColumn id="6" name="tenant"/>
    <x:tableColumn id="7" name="address"/>
    <x:tableColumn id="8" name="address2"/>
    <x:tableColumn id="9" name="city"/>
    <x:tableColumn id="10" name="county"/>
    <x:tableColumn id="11" name="state"/>
    <x:tableColumn id="12" name="postal_code"/>
    <x:tableColumn id="13" name="latitude"/>
    <x:tableColumn id="14" name="longitude"/>
    <x:tableColumn id="15" name="location_precision"/>
    <x:tableColumn id="16" name="location_confidence"/>
    <x:tableColumn id="17" name="location_determination"/>
    <x:tableColumn id="18" name="status_raw"/>
    <x:tableColumn id="19" name="status_normalized"/>
    <x:tableColumn id="20" name="facility_type"/>
    <x:tableColumn id="21" name="purpose"/>
    <x:tableColumn id="22" name="capacity_mw"/>
    <x:tableColumn id="23" name="capacity_mw_low"/>
    <x:tableColumn id="24" name="capacity_mw_high"/>
    <x:tableColumn id="25" name="square_feet"/>
    <x:tableColumn id="26" name="property_acres"/>
    <x:tableColumn id="27" name="number_buildings"/>
    <x:tableColumn id="28" name="number_generators"/>
    <x:tableColumn id="29" name="investment_usd"/>
    <x:tableColumn id="30" name="power_source"/>
    <x:tableColumn id="31" name="cooling_source"/>
    <x:tableColumn id="32" name="cooling_type"/>
    <x:tableColumn id="33" name="expected_online"/>
    <x:tableColumn id="34" name="created_date"/>
    <x:tableColumn id="35" name="updated_date"/>
    <x:tableColumn id="36" name="evidence_urls"/>
    <x:tableColumn id="37" name="source_dataset_url"/>
    <x:tableColumn id="38" name="source_record_url"/>
    <x:tableColumn id="39" name="notes"/>
    <x:tableColumn id="40" name="scope_category"/>
    <x:tableColumn id="41" name="included_in_master"/>
    <x:tableColumn id="42" name="operator_normalized"/>
    <x:tableColumn id="43" name="name_normalized"/>
    <x:tableColumn id="44" name="address_normaliz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FieldMapTable" displayName="FieldMapTable" ref="A1:E10" headerRowCount="1" totalsRowCount="0" totalsRowShown="0">
  <x:autoFilter ref="A1:E10"/>
  <x:tableColumns count="5">
    <x:tableColumn id="1" name="canonical_field"/>
    <x:tableColumn id="2" name="peeringdb"/>
    <x:tableColumn id="3" name="fractracker"/>
    <x:tableColumn id="4" name="compute_atlas"/>
    <x:tableColumn id="5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CandidateSitesTable" displayName="CandidateSitesTable" ref="A1:T5" headerRowCount="1" totalsRowCount="0" totalsRowShown="0">
  <x:autoFilter ref="A1:T5"/>
  <x:tableColumns count="20">
    <x:tableColumn id="1" name="candidate_id"/>
    <x:tableColumn id="2" name="master_facility_id"/>
    <x:tableColumn id="3" name="candidate_site_name"/>
    <x:tableColumn id="4" name="candidate_type"/>
    <x:tableColumn id="5" name="candidate_confidence"/>
    <x:tableColumn id="6" name="address"/>
    <x:tableColumn id="7" name="city"/>
    <x:tableColumn id="8" name="county"/>
    <x:tableColumn id="9" name="state"/>
    <x:tableColumn id="10" name="postal_code"/>
    <x:tableColumn id="11" name="latitude"/>
    <x:tableColumn id="12" name="longitude"/>
    <x:tableColumn id="13" name="evidence_basis"/>
    <x:tableColumn id="14" name="source"/>
    <x:tableColumn id="15" name="evidence_urls"/>
    <x:tableColumn id="16" name="last_verified"/>
    <x:tableColumn id="17" name="review_note"/>
    <x:tableColumn id="18" name="location_precision"/>
    <x:tableColumn id="19" name="location_confidence"/>
    <x:tableColumn id="20" name="coordinate_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8376ddd835846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12a79391da343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b9e1347fcdb4db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5dd4dde54f2e48a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1fae5df897da404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84052a2e27ed4c8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422505bf3156463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8" hidden="0" customWidth="1"/>
    <x:col min="3" max="3" width="58" hidden="0" customWidth="1"/>
  </x:cols>
  <x:sheetData>
    <x:row r="1">
      <x:c r="A1" s="70" t="str">
        <x:v>README — Scope, Sources, and Deduplication Protocol</x:v>
      </x:c>
      <x:c r="B1" s="70"/>
      <x:c r="C1" s="70"/>
      <x:c r="D1" s="70"/>
      <x:c r="E1" s="70"/>
      <x:c r="F1" s="70"/>
      <x:c r="G1" s="70"/>
      <x:c r="H1" s="70"/>
    </x:row>
    <x:row r="2">
      <x:c r="A2" s="70"/>
      <x:c r="B2" s="70"/>
      <x:c r="C2" s="70"/>
      <x:c r="D2" s="70"/>
      <x:c r="E2" s="70"/>
      <x:c r="F2" s="70"/>
      <x:c r="G2" s="70"/>
      <x:c r="H2" s="70"/>
    </x:row>
    <x:row r="4">
      <x:c r="A4" s="62" t="str">
        <x:v>Item</x:v>
      </x:c>
      <x:c r="B4" s="62" t="str">
        <x:v>Description</x:v>
      </x:c>
      <x:c r="C4" s="12"/>
    </x:row>
    <x:row r="5">
      <x:c r="A5" s="63" t="str">
        <x:v>Purpose</x:v>
      </x:c>
      <x:c r="B5" s="67" t="str">
        <x:v>Public Tennessee data-center facility dataset with detailed geography, operators, source provenance, and conservative entity resolution.</x:v>
      </x:c>
      <x:c r="C5" s="71"/>
    </x:row>
    <x:row r="6">
      <x:c r="A6" s="63" t="str">
        <x:v>Retrieval date</x:v>
      </x:c>
      <x:c r="B6" s="73" t="n">
        <x:v>46267.15612063657</x:v>
      </x:c>
      <x:c r="C6" s="71"/>
    </x:row>
    <x:row r="7">
      <x:c r="A7" s="63" t="str">
        <x:v>Unit of analysis</x:v>
      </x:c>
      <x:c r="B7" s="67" t="str">
        <x:v>Master = one row per resolved physical facility/site or unresolved candidate entity. Raw_Aligned = one row per source record. Shared addresses can consolidate historical operators, while distinct street addresses stay separate.</x:v>
      </x:c>
      <x:c r="C7" s="71"/>
    </x:row>
    <x:row r="8">
      <x:c r="A8" s="63" t="str">
        <x:v>Raw records</x:v>
      </x:c>
      <x:c r="B8" s="67" t="str">
        <x:v>61 total: PeeringDB 20, FracTracker 12, Compute Atlas 29.</x:v>
      </x:c>
      <x:c r="C8" s="71"/>
    </x:row>
    <x:row r="9">
      <x:c r="A9" s="63" t="str">
        <x:v>Master records</x:v>
      </x:c>
      <x:c r="B9" s="67" t="str">
        <x:v>45 provisional entity rows: 35 core data-center/interconnection rows plus 10 crypto-mining rows. Because Compute Atlas Colossus cannot be assigned to FracTracker Colossus 1 or 2, the unique physical total is 44–45.</x:v>
      </x:c>
      <x:c r="C9" s="71"/>
    </x:row>
    <x:row r="10">
      <x:c r="A10" s="63" t="str">
        <x:v>Excluded records</x:v>
      </x:c>
      <x:c r="B10" s="67" t="str">
        <x:v>2 Compute Atlas power-generation/support records are retained in Excluded_Support and Raw_Aligned but not counted as data centers.</x:v>
      </x:c>
      <x:c r="C10" s="71"/>
    </x:row>
    <x:row r="11">
      <x:c r="A11" s="63" t="str">
        <x:v>Automatic matching</x:v>
      </x:c>
      <x:c r="B11" s="67" t="str">
        <x:v>Uses normalized address, name/operator similarity, city/county, and geodesic distance. Different known street addresses block automatic merging.</x:v>
      </x:c>
      <x:c r="C11" s="71"/>
    </x:row>
    <x:row r="12">
      <x:c r="A12" s="63" t="str">
        <x:v>Curated decisions</x:v>
      </x:c>
      <x:c r="B12" s="67" t="str">
        <x:v>Named same-project records were merged after source-row review; obvious separate facilities were explicitly kept separate. Every decision remains in Match_Audit.</x:v>
      </x:c>
      <x:c r="C12" s="71"/>
    </x:row>
    <x:row r="13">
      <x:c r="A13" s="63" t="str">
        <x:v>Unresolved</x:v>
      </x:c>
      <x:c r="B13" s="67" t="str">
        <x:v>Compute Atlas 'Colossus' could correspond to FracTracker Colossus 1 or 2. Both alternatives remain in Review_Pairs; no forced merge was made.</x:v>
      </x:c>
      <x:c r="C13" s="71"/>
    </x:row>
    <x:row r="14">
      <x:c r="A14" s="63" t="str">
        <x:v>Coordinate policy</x:v>
      </x:c>
      <x:c r="B14" s="67" t="str">
        <x:v>Coordinates are WGS84 decimal degrees. Representative coordinates favor FracTracker High confidence, then address/site or exact records. coordinate_max_spread_km retains source disagreement.</x:v>
      </x:c>
      <x:c r="C14" s="71"/>
    </x:row>
    <x:row r="15">
      <x:c r="A15" s="63" t="str">
        <x:v>Status policy</x:v>
      </x:c>
      <x:c r="B15" s="67" t="str">
        <x:v>Operational is selected when any active record exists; status_values and status_conflict_flag preserve disagreement.</x:v>
      </x:c>
      <x:c r="C15" s="71"/>
    </x:row>
    <x:row r="16">
      <x:c r="A16" s="12"/>
      <x:c r="B16" s="71"/>
      <x:c r="C16" s="71"/>
    </x:row>
    <x:row r="17">
      <x:c r="A17" s="62" t="str">
        <x:v>Source</x:v>
      </x:c>
      <x:c r="B17" s="72" t="str">
        <x:v>Dataset URL</x:v>
      </x:c>
      <x:c r="C17" s="72" t="str">
        <x:v>Role</x:v>
      </x:c>
    </x:row>
    <x:row r="18">
      <x:c r="A18" s="63" t="str">
        <x:v>PeeringDB</x:v>
      </x:c>
      <x:c r="B18" s="67" t="str">
        <x:v>https://www.peeringdb.com/api/fac?state=TN&amp;country=US</x:v>
      </x:c>
      <x:c r="C18" s="67" t="str">
        <x:v>Operational interconnection and colocation facilities</x:v>
      </x:c>
    </x:row>
    <x:row r="19">
      <x:c r="A19" s="63" t="str">
        <x:v>FracTracker</x:v>
      </x:c>
      <x:c r="B19" s="67" t="str">
        <x:v>https://services.arcgis.com/jDGuO8tYggdCCnUJ/arcgis/rest/services/data_centers_v4_agol_all/FeatureServer/0</x:v>
      </x:c>
      <x:c r="C19" s="67" t="str">
        <x:v>Detailed project geography, lifecycle, capacity, and confidence fields</x:v>
      </x:c>
    </x:row>
    <x:row r="20">
      <x:c r="A20" s="63" t="str">
        <x:v>Compute Atlas</x:v>
      </x:c>
      <x:c r="B20" s="67" t="str">
        <x:v>https://www.compute-atlas.com/api/facilities?state=TN</x:v>
      </x:c>
      <x:c r="C20" s="67" t="str">
        <x:v>Hyperscale, AI, crypto-mining, and supplemental project coverage</x:v>
      </x:c>
    </x:row>
    <x:row r="21">
      <x:c r="A21" s="67" t="str">
        <x:v>2026-09-03 additive update</x:v>
      </x:c>
      <x:c r="B21" s="67" t="str">
        <x:v>schema_version 1.1</x:v>
      </x:c>
      <x:c r="C21" s="67" t="str">
        <x:v>Master A:AF preserved</x:v>
      </x:c>
      <x:c r="D21" s="85" t="str">
        <x:v>Candidate_Sites + Proposal_Readiness + Change_Log added</x:v>
      </x:c>
    </x:row>
    <x:row r="22">
      <x:c r="A22" s="85" t="str">
        <x:v>Verification policy</x:v>
      </x:c>
      <x:c r="B22" s="85" t="str">
        <x:v>Core rows cross-verified by &gt;=2 evidence domains and &gt;=2 source records</x:v>
      </x:c>
      <x:c r="C22" s="85" t="str">
        <x:v>Candidate/review rows explicitly flagged</x:v>
      </x:c>
      <x:c r="D22" s="85" t="str">
        <x:v>Unknown numeric/operator values remain null</x:v>
      </x:c>
    </x:row>
  </x:sheetData>
  <x:mergeCells>
    <x:mergeCell ref="A1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58" hidden="0" customWidth="1"/>
    <x:col min="4" max="4" width="3" hidden="0" customWidth="1"/>
    <x:col min="5" max="5" width="28" hidden="0" customWidth="1"/>
    <x:col min="6" max="6" width="16" hidden="0" customWidth="1"/>
    <x:col min="7" max="7" width="52" hidden="0" customWidth="1"/>
    <x:col min="8" max="8" width="22" hidden="0" customWidth="1"/>
  </x:cols>
  <x:sheetData>
    <x:row r="1">
      <x:c r="A1" s="50" t="str">
        <x:v>Tennessee Public Data Centers — Deduplicated Summary</x:v>
      </x:c>
      <x:c r="B1" s="50"/>
      <x:c r="C1" s="50"/>
      <x:c r="D1" s="50"/>
      <x:c r="E1" s="50"/>
      <x:c r="F1" s="50"/>
      <x:c r="G1" s="50"/>
      <x:c r="H1" s="50"/>
    </x:row>
    <x:row r="2">
      <x:c r="A2" s="50"/>
      <x:c r="B2" s="50"/>
      <x:c r="C2" s="50"/>
      <x:c r="D2" s="50"/>
      <x:c r="E2" s="50"/>
      <x:c r="F2" s="50"/>
      <x:c r="G2" s="50"/>
      <x:c r="H2" s="50"/>
    </x:row>
    <x:row r="4">
      <x:c r="A4" s="62" t="str">
        <x:v>Metric</x:v>
      </x:c>
      <x:c r="B4" s="62" t="str">
        <x:v>Value</x:v>
      </x:c>
      <x:c r="C4" s="62" t="str">
        <x:v>Interpretation</x:v>
      </x:c>
      <x:c r="D4" s="12"/>
      <x:c r="E4" s="62" t="str">
        <x:v>Source</x:v>
      </x:c>
      <x:c r="F4" s="62" t="str">
        <x:v>Raw Records</x:v>
      </x:c>
      <x:c r="G4" s="62" t="str">
        <x:v>Coverage</x:v>
      </x:c>
      <x:c r="H4" s="12"/>
    </x:row>
    <x:row r="5">
      <x:c r="A5" s="63" t="str">
        <x:v>Raw source records</x:v>
      </x:c>
      <x:c r="B5" s="64" t="n">
        <x:f>COUNTA(Raw_Aligned!B2:B1000)</x:f>
        <x:v>83</x:v>
      </x:c>
      <x:c r="C5" s="67" t="str">
        <x:v>All source records, including appended public verification rows.</x:v>
      </x:c>
      <x:c r="D5" s="12"/>
      <x:c r="E5" s="63" t="str">
        <x:v>PeeringDB</x:v>
      </x:c>
      <x:c r="F5" s="64" t="n">
        <x:f>COUNTIF('Raw_Aligned'!$A$2:$A$62,"peeringdb")</x:f>
        <x:v>20</x:v>
      </x:c>
      <x:c r="G5" s="67" t="str">
        <x:v>Operational interconnection / colocation facilities</x:v>
      </x:c>
      <x:c r="H5" s="12"/>
    </x:row>
    <x:row r="6">
      <x:c r="A6" s="63" t="str">
        <x:v>Master entity rows after confirmed merges</x:v>
      </x:c>
      <x:c r="B6" s="64" t="n">
        <x:f>COUNTA(Master!A2:A1000)</x:f>
        <x:v>45</x:v>
      </x:c>
      <x:c r="C6" s="67" t="str">
        <x:v>45 provisional entity rows; unique physical facilities are 44–45 because the generic Compute Atlas Colossus identity is unresolved.</x:v>
      </x:c>
      <x:c r="D6" s="12"/>
      <x:c r="E6" s="63" t="str">
        <x:v>FracTracker</x:v>
      </x:c>
      <x:c r="F6" s="64" t="n">
        <x:f>COUNTIF('Raw_Aligned'!$A$2:$A$62,"fractracker")</x:f>
        <x:v>12</x:v>
      </x:c>
      <x:c r="G6" s="67" t="str">
        <x:v>Operating, proposed, construction, expansion projects</x:v>
      </x:c>
      <x:c r="H6" s="12"/>
    </x:row>
    <x:row r="7">
      <x:c r="A7" s="63" t="str">
        <x:v>Core DC / interconnection entity rows</x:v>
      </x:c>
      <x:c r="B7" s="64" t="n">
        <x:f>COUNTIF(Master!V2:V1000,"core_data_center")</x:f>
        <x:v>35</x:v>
      </x:c>
      <x:c r="C7" s="67" t="str">
        <x:v>35 core entity rows; unique physical core facilities are 34–35 for the same xAI ambiguity.</x:v>
      </x:c>
      <x:c r="D7" s="12"/>
      <x:c r="E7" s="63" t="str">
        <x:v>Compute Atlas</x:v>
      </x:c>
      <x:c r="F7" s="64" t="n">
        <x:f>COUNTIF('Raw_Aligned'!$A$2:$A$62,"compute_atlas")</x:f>
        <x:v>29</x:v>
      </x:c>
      <x:c r="G7" s="67" t="str">
        <x:v>Data centers, crypto mining, and support infrastructure</x:v>
      </x:c>
      <x:c r="H7" s="12"/>
    </x:row>
    <x:row r="8">
      <x:c r="A8" s="63" t="str">
        <x:v>Crypto-mining facilities</x:v>
      </x:c>
      <x:c r="B8" s="64" t="n">
        <x:f>COUNTIF(Master!V2:V1000,"crypto_mining")</x:f>
        <x:v>10</x:v>
      </x:c>
      <x:c r="C8" s="67" t="str">
        <x:v>Retained and explicitly typed; not silently mixed with core DCs.</x:v>
      </x:c>
      <x:c r="D8" s="12"/>
      <x:c r="E8" s="12"/>
      <x:c r="F8" s="12"/>
      <x:c r="G8" s="12"/>
      <x:c r="H8" s="12"/>
    </x:row>
    <x:row r="9">
      <x:c r="A9" s="63" t="str">
        <x:v>Excluded support-infrastructure records</x:v>
      </x:c>
      <x:c r="B9" s="64" t="n">
        <x:f>COUNTA(Excluded_Support!A2:A1000)</x:f>
        <x:v>2</x:v>
      </x:c>
      <x:c r="C9" s="67" t="str">
        <x:v>Power-generation records kept in audit/raw sheets, excluded from master.</x:v>
      </x:c>
      <x:c r="D9" s="12"/>
      <x:c r="E9" s="65" t="str">
        <x:v>Quality flags to review</x:v>
      </x:c>
      <x:c r="F9" s="65"/>
      <x:c r="G9" s="65"/>
      <x:c r="H9" s="65"/>
    </x:row>
    <x:row r="10">
      <x:c r="A10" s="63" t="str">
        <x:v>Unresolved candidate pairs</x:v>
      </x:c>
      <x:c r="B10" s="64" t="n">
        <x:f>COUNTA(Review_Pairs!A2:A1000)</x:f>
        <x:v>2</x:v>
      </x:c>
      <x:c r="C10" s="67" t="str">
        <x:v>Candidate identity is ambiguous and requires external evidence.</x:v>
      </x:c>
      <x:c r="D10" s="12"/>
      <x:c r="E10" s="68" t="str">
        <x:v>Flag</x:v>
      </x:c>
      <x:c r="F10" s="68" t="str">
        <x:v>Meaning</x:v>
      </x:c>
      <x:c r="G10" s="68" t="str">
        <x:v>Action</x:v>
      </x:c>
      <x:c r="H10" s="68" t="str">
        <x:v>Where</x:v>
      </x:c>
    </x:row>
    <x:row r="11">
      <x:c r="A11" s="63" t="str">
        <x:v>Master facilities with coordinate conflicts &gt;1 km</x:v>
      </x:c>
      <x:c r="B11" s="64" t="n">
        <x:f>COUNTIF(Master!O2:O46,"&gt;1")</x:f>
        <x:v>4</x:v>
      </x:c>
      <x:c r="C11" s="67" t="str">
        <x:v>Same project identity, but source coordinates disagree by more than 1 km.</x:v>
      </x:c>
      <x:c r="D11" s="12"/>
      <x:c r="E11" s="67" t="str">
        <x:v>coordinate_conflict_flag</x:v>
      </x:c>
      <x:c r="F11" s="67" t="str">
        <x:v>Merged sources differ by &gt;1 km</x:v>
      </x:c>
      <x:c r="G11" s="67" t="str">
        <x:v>Use the selected coordinate source and inspect alternatives</x:v>
      </x:c>
      <x:c r="H11" s="67" t="str">
        <x:v>Master</x:v>
      </x:c>
    </x:row>
    <x:row r="12">
      <x:c r="A12" s="63" t="str">
        <x:v>Master facilities with conflicting status values</x:v>
      </x:c>
      <x:c r="B12" s="64" t="n">
        <x:v>5</x:v>
      </x:c>
      <x:c r="C12" s="67" t="str">
        <x:v>Sources disagree about lifecycle status; all source values are retained.</x:v>
      </x:c>
      <x:c r="D12" s="12"/>
      <x:c r="E12" s="67" t="str">
        <x:v>status_conflict_flag</x:v>
      </x:c>
      <x:c r="F12" s="67" t="str">
        <x:v>Merged sources report different statuses</x:v>
      </x:c>
      <x:c r="G12" s="67" t="str">
        <x:v>Review status_values and source rows</x:v>
      </x:c>
      <x:c r="H12" s="67" t="str">
        <x:v>Master</x:v>
      </x:c>
    </x:row>
    <x:row r="13">
      <x:c r="A13" s="63" t="str">
        <x:v>Master rows missing a published operator</x:v>
      </x:c>
      <x:c r="B13" s="64" t="n">
        <x:f>COUNTBLANK(Master!C2:C46)</x:f>
        <x:v>2</x:v>
      </x:c>
      <x:c r="C13" s="67" t="str">
        <x:v>Missing operators have explicit operator_status; unknown values are not fabricated.</x:v>
      </x:c>
      <x:c r="D13" s="12"/>
      <x:c r="E13" s="67" t="str">
        <x:v>manual_review</x:v>
      </x:c>
      <x:c r="F13" s="67" t="str">
        <x:v>Entity identity remains ambiguous</x:v>
      </x:c>
      <x:c r="G13" s="67" t="str">
        <x:v>Do not collapse until external evidence resolves it</x:v>
      </x:c>
      <x:c r="H13" s="67" t="str">
        <x:v>Review_Pairs</x:v>
      </x:c>
    </x:row>
  </x:sheetData>
  <x:mergeCells>
    <x:mergeCell ref="A1:H2"/>
    <x:mergeCell ref="E9:H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45" hidden="0" customWidth="1"/>
    <x:col min="3" max="3" width="34" hidden="0" customWidth="1"/>
    <x:col min="4" max="4" width="34" hidden="0" customWidth="1"/>
    <x:col min="5" max="5" width="34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5" hidden="0" customWidth="1"/>
    <x:col min="11" max="11" width="15" hidden="0" customWidth="1"/>
    <x:col min="12" max="12" width="17" hidden="0" customWidth="1"/>
    <x:col min="13" max="13" width="17" hidden="0" customWidth="1"/>
    <x:col min="14" max="14" width="44" hidden="0" customWidth="1"/>
    <x:col min="15" max="15" width="17" hidden="0" customWidth="1"/>
    <x:col min="16" max="16" width="18" hidden="0" customWidth="1"/>
    <x:col min="17" max="17" width="30" hidden="0" customWidth="1"/>
    <x:col min="18" max="18" width="17" hidden="0" customWidth="1"/>
    <x:col min="19" max="19" width="18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44" hidden="0" customWidth="1"/>
    <x:col min="31" max="31" width="60" hidden="0" customWidth="1"/>
    <x:col min="32" max="32" width="22" hidden="0" customWidth="1"/>
    <x:col min="33" max="33" width="18" hidden="0" customWidth="1"/>
    <x:col min="34" max="34" width="28" hidden="0" customWidth="1"/>
    <x:col min="35" max="35" width="18" hidden="0" customWidth="1"/>
    <x:col min="36" max="36" width="14" hidden="0" customWidth="1"/>
    <x:col min="37" max="37" width="18" hidden="0" customWidth="1"/>
    <x:col min="38" max="38" width="18" hidden="0" customWidth="1"/>
    <x:col min="39" max="39" width="54" hidden="0" customWidth="1"/>
    <x:col min="40" max="40" width="14" hidden="0" customWidth="1"/>
    <x:col min="41" max="41" width="14" hidden="0" customWidth="1"/>
  </x:cols>
  <x:sheetData>
    <x:row r="1" ht="32" customHeight="1">
      <x:c r="A1" s="9" t="str">
        <x:v>facility_id</x:v>
      </x:c>
      <x:c r="B1" s="10" t="str">
        <x:v>facility_name</x:v>
      </x:c>
      <x:c r="C1" s="10" t="str">
        <x:v>operator</x:v>
      </x:c>
      <x:c r="D1" s="10" t="str">
        <x:v>operators</x:v>
      </x:c>
      <x:c r="E1" s="10" t="str">
        <x:v>address</x:v>
      </x:c>
      <x:c r="F1" s="10" t="str">
        <x:v>city</x:v>
      </x:c>
      <x:c r="G1" s="10" t="str">
        <x:v>county</x:v>
      </x:c>
      <x:c r="H1" s="10" t="str">
        <x:v>state</x:v>
      </x:c>
      <x:c r="I1" s="10" t="str">
        <x:v>postal_code</x:v>
      </x:c>
      <x:c r="J1" s="10" t="str">
        <x:v>latitude</x:v>
      </x:c>
      <x:c r="K1" s="10" t="str">
        <x:v>longitude</x:v>
      </x:c>
      <x:c r="L1" s="10" t="str">
        <x:v>location_precision</x:v>
      </x:c>
      <x:c r="M1" s="10" t="str">
        <x:v>location_confidence</x:v>
      </x:c>
      <x:c r="N1" s="10" t="str">
        <x:v>coordinate_source_record</x:v>
      </x:c>
      <x:c r="O1" s="10" t="str">
        <x:v>coordinate_max_spread_km</x:v>
      </x:c>
      <x:c r="P1" s="10" t="str">
        <x:v>coordinate_conflict_flag</x:v>
      </x:c>
      <x:c r="Q1" s="10" t="str">
        <x:v>status_normalized</x:v>
      </x:c>
      <x:c r="R1" s="10" t="str">
        <x:v>status_values</x:v>
      </x:c>
      <x:c r="S1" s="10" t="str">
        <x:v>status_conflict_flag</x:v>
      </x:c>
      <x:c r="T1" s="10" t="str">
        <x:v>facility_type</x:v>
      </x:c>
      <x:c r="U1" s="10" t="str">
        <x:v>facility_type_values</x:v>
      </x:c>
      <x:c r="V1" s="10" t="str">
        <x:v>analysis_scope</x:v>
      </x:c>
      <x:c r="W1" s="10" t="str">
        <x:v>capacity_mw</x:v>
      </x:c>
      <x:c r="X1" s="10" t="str">
        <x:v>square_feet</x:v>
      </x:c>
      <x:c r="Y1" s="10" t="str">
        <x:v>property_acres</x:v>
      </x:c>
      <x:c r="Z1" s="10" t="str">
        <x:v>investment_usd</x:v>
      </x:c>
      <x:c r="AA1" s="10" t="str">
        <x:v>sources</x:v>
      </x:c>
      <x:c r="AB1" s="10" t="str">
        <x:v>source_count</x:v>
      </x:c>
      <x:c r="AC1" s="10" t="str">
        <x:v>record_count</x:v>
      </x:c>
      <x:c r="AD1" s="10" t="str">
        <x:v>source_record_ids</x:v>
      </x:c>
      <x:c r="AE1" s="10" t="str">
        <x:v>evidence_urls</x:v>
      </x:c>
      <x:c r="AF1" s="11" t="str">
        <x:v>last_updated</x:v>
      </x:c>
      <x:c r="AG1" s="84" t="str">
        <x:v>verification_class</x:v>
      </x:c>
      <x:c r="AH1" s="84" t="str">
        <x:v>operator_status</x:v>
      </x:c>
      <x:c r="AI1" s="84" t="str">
        <x:v>independent_evidence_domain_count</x:v>
      </x:c>
      <x:c r="AJ1" s="84" t="str">
        <x:v>cross_verified</x:v>
      </x:c>
      <x:c r="AK1" s="84" t="str">
        <x:v>source_confidence_score</x:v>
      </x:c>
      <x:c r="AL1" s="84" t="str">
        <x:v>source_confidence_class</x:v>
      </x:c>
      <x:c r="AM1" s="84" t="str">
        <x:v>verification_note</x:v>
      </x:c>
      <x:c r="AN1" s="84" t="str">
        <x:v>schema_version</x:v>
      </x:c>
      <x:c r="AO1" s="84" t="str">
        <x:v>dataset_version</x:v>
      </x:c>
    </x:row>
    <x:row r="2" ht="30" hidden="0" customHeight="1">
      <x:c r="A2" s="13" t="str">
        <x:v>TNDC-001</x:v>
      </x:c>
      <x:c r="B2" s="22" t="str">
        <x:v>Flexential - Nashville/Brentwood (NAS01/04)</x:v>
      </x:c>
      <x:c r="C2" s="22" t="str">
        <x:v>Flexential</x:v>
      </x:c>
      <x:c r="D2" s="22" t="str">
        <x:v>Flexential | Flexential Corp.</x:v>
      </x:c>
      <x:c r="E2" s="22" t="str">
        <x:v>7100 Commerce Way, Suite 25,</x:v>
      </x:c>
      <x:c r="F2" s="14" t="str">
        <x:v>Brentwood</x:v>
      </x:c>
      <x:c r="G2" s="25" t="str">
        <x:v>Williamson</x:v>
      </x:c>
      <x:c r="H2" s="14" t="str">
        <x:v>TN</x:v>
      </x:c>
      <x:c r="I2" s="14" t="str">
        <x:v>37027</x:v>
      </x:c>
      <x:c r="J2" s="28" t="n">
        <x:v>35.972453</x:v>
      </x:c>
      <x:c r="K2" s="28" t="n">
        <x:v>-86.808748</x:v>
      </x:c>
      <x:c r="L2" s="14" t="str">
        <x:v>address_or_site</x:v>
      </x:c>
      <x:c r="M2" s="14" t="str">
        <x:v>high</x:v>
      </x:c>
      <x:c r="N2" s="22" t="str">
        <x:v>peeringdb:5003</x:v>
      </x:c>
      <x:c r="O2" s="87" t="n">
        <x:v>0.0383</x:v>
      </x:c>
      <x:c r="P2" s="74" t="b">
        <x:v>0</x:v>
      </x:c>
      <x:c r="Q2" s="14" t="str">
        <x:v>operational</x:v>
      </x:c>
      <x:c r="R2" s="14" t="str">
        <x:v>operational</x:v>
      </x:c>
      <x:c r="S2" s="74" t="b">
        <x:v>0</x:v>
      </x:c>
      <x:c r="T2" s="14" t="str">
        <x:v>data_center</x:v>
      </x:c>
      <x:c r="U2" s="14" t="str">
        <x:v>data_center | interconnection_facility</x:v>
      </x:c>
      <x:c r="V2" s="14" t="str">
        <x:v>core_data_center</x:v>
      </x:c>
      <x:c r="W2" s="90"/>
      <x:c r="X2" s="90"/>
      <x:c r="Y2" s="90"/>
      <x:c r="Z2" s="34"/>
      <x:c r="AA2" s="14" t="str">
        <x:v>compute_atlas | peeringdb</x:v>
      </x:c>
      <x:c r="AB2" s="93" t="n">
        <x:v>2</x:v>
      </x:c>
      <x:c r="AC2" s="93" t="n">
        <x:v>2</x:v>
      </x:c>
      <x:c r="AD2" s="22" t="str">
        <x:v>compute_atlas:flexential-nashville-brentwood-nas01-04-tn | peeringdb:5003</x:v>
      </x:c>
      <x:c r="AE2" s="14" t="str">
        <x:v>https://www.flexential.com/ | https://www.flexential.com/data-centers/tn/nashville/brentwood-data-center | https://www.openstreetmap.org/node/12112295055</x:v>
      </x:c>
      <x:c r="AF2" s="15" t="str">
        <x:v>2026-07-23</x:v>
      </x:c>
      <x:c r="AG2" s="85" t="str">
        <x:v>confirmed</x:v>
      </x:c>
      <x:c r="AH2" s="85" t="str">
        <x:v>identified</x:v>
      </x:c>
      <x:c r="AI2" s="96" t="n">
        <x:v>2</x:v>
      </x:c>
      <x:c r="AJ2" s="86" t="b">
        <x:v>1</x:v>
      </x:c>
      <x:c r="AK2" s="96" t="n">
        <x:v>91</x:v>
      </x:c>
      <x:c r="AL2" s="85" t="str">
        <x:v>high</x:v>
      </x:c>
      <x:c r="AM2" s="85" t="str">
        <x:v>Cross-verified facility record; unresolved values remain null rather than inferred.</x:v>
      </x:c>
      <x:c r="AN2" s="85" t="str">
        <x:v>1.1</x:v>
      </x:c>
      <x:c r="AO2" s="85" t="str">
        <x:v>2026-09-03</x:v>
      </x:c>
    </x:row>
    <x:row r="3" ht="30" hidden="0" customHeight="1">
      <x:c r="A3" s="16" t="str">
        <x:v>TNDC-002</x:v>
      </x:c>
      <x:c r="B3" s="23" t="str">
        <x:v>CleanSpark Campbell Junction Bitcoin Mining Facility</x:v>
      </x:c>
      <x:c r="C3" s="23" t="str">
        <x:v>CleanSpark, Inc.</x:v>
      </x:c>
      <x:c r="D3" s="23" t="str">
        <x:v>CleanSpark, Inc.</x:v>
      </x:c>
      <x:c r="E3" s="23"/>
      <x:c r="F3" s="17" t="str">
        <x:v>Campbell Junction</x:v>
      </x:c>
      <x:c r="G3" s="26" t="str">
        <x:v>Cumberland</x:v>
      </x:c>
      <x:c r="H3" s="17" t="str">
        <x:v>TN</x:v>
      </x:c>
      <x:c r="I3" s="17"/>
      <x:c r="J3" s="29" t="n">
        <x:v>36.0436</x:v>
      </x:c>
      <x:c r="K3" s="29" t="n">
        <x:v>-85.1692</x:v>
      </x:c>
      <x:c r="L3" s="17" t="str">
        <x:v>approximate</x:v>
      </x:c>
      <x:c r="M3" s="17" t="str">
        <x:v>medium</x:v>
      </x:c>
      <x:c r="N3" s="23" t="str">
        <x:v>compute_atlas:cleanspark-campbell-junction-tn</x:v>
      </x:c>
      <x:c r="O3" s="88"/>
      <x:c r="P3" s="77" t="b">
        <x:v>0</x:v>
      </x:c>
      <x:c r="Q3" s="17" t="str">
        <x:v>operational</x:v>
      </x:c>
      <x:c r="R3" s="17" t="str">
        <x:v>operational</x:v>
      </x:c>
      <x:c r="S3" s="77" t="b">
        <x:v>0</x:v>
      </x:c>
      <x:c r="T3" s="17" t="str">
        <x:v>crypto_mining</x:v>
      </x:c>
      <x:c r="U3" s="17" t="str">
        <x:v>crypto_mining</x:v>
      </x:c>
      <x:c r="V3" s="17" t="str">
        <x:v>crypto_mining</x:v>
      </x:c>
      <x:c r="W3" s="91"/>
      <x:c r="X3" s="91"/>
      <x:c r="Y3" s="91"/>
      <x:c r="Z3" s="35"/>
      <x:c r="AA3" s="17" t="str">
        <x:v>compute_atlas</x:v>
      </x:c>
      <x:c r="AB3" s="94" t="n">
        <x:v>1</x:v>
      </x:c>
      <x:c r="AC3" s="94" t="n">
        <x:v>1</x:v>
      </x:c>
      <x:c r="AD3" s="23" t="str">
        <x:v>compute_atlas:cleanspark-campbell-junction-tn</x:v>
      </x:c>
      <x:c r="AE3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F3" s="18" t="str">
        <x:v>2026-08-05</x:v>
      </x:c>
      <x:c r="AG3" s="85" t="str">
        <x:v>confirmed</x:v>
      </x:c>
      <x:c r="AH3" s="85" t="str">
        <x:v>identified</x:v>
      </x:c>
      <x:c r="AI3" s="96" t="n">
        <x:v>2</x:v>
      </x:c>
      <x:c r="AJ3" s="86" t="b">
        <x:v>1</x:v>
      </x:c>
      <x:c r="AK3" s="96" t="n">
        <x:v>70</x:v>
      </x:c>
      <x:c r="AL3" s="85" t="str">
        <x:v>medium</x:v>
      </x:c>
      <x:c r="AM3" s="85" t="str">
        <x:v>Cross-verified facility record; unresolved values remain null rather than inferred.</x:v>
      </x:c>
      <x:c r="AN3" s="85" t="str">
        <x:v>1.1</x:v>
      </x:c>
      <x:c r="AO3" s="85" t="str">
        <x:v>2026-09-03</x:v>
      </x:c>
    </x:row>
    <x:row r="4" ht="30" hidden="0" customHeight="1">
      <x:c r="A4" s="16" t="str">
        <x:v>TNDC-003</x:v>
      </x:c>
      <x:c r="B4" s="23" t="str">
        <x:v>DC BLOX CHA1 - DCBLOX Chattanooga</x:v>
      </x:c>
      <x:c r="C4" s="23" t="str">
        <x:v>DC BLOX Parent LLC</x:v>
      </x:c>
      <x:c r="D4" s="23" t="str">
        <x:v>DC BLOX Parent LLC</x:v>
      </x:c>
      <x:c r="E4" s="23" t="str">
        <x:v>807 E 16th St</x:v>
      </x:c>
      <x:c r="F4" s="17" t="str">
        <x:v>Chattanooga</x:v>
      </x:c>
      <x:c r="G4" s="26" t="str">
        <x:v>Hamilton</x:v>
      </x:c>
      <x:c r="H4" s="17" t="str">
        <x:v>TN</x:v>
      </x:c>
      <x:c r="I4" s="17" t="str">
        <x:v>37408</x:v>
      </x:c>
      <x:c r="J4" s="29" t="n">
        <x:v>35.03158</x:v>
      </x:c>
      <x:c r="K4" s="29" t="n">
        <x:v>-85.2973</x:v>
      </x:c>
      <x:c r="L4" s="17" t="str">
        <x:v>address_or_site</x:v>
      </x:c>
      <x:c r="M4" s="17" t="str">
        <x:v>high</x:v>
      </x:c>
      <x:c r="N4" s="23" t="str">
        <x:v>fractracker:493</x:v>
      </x:c>
      <x:c r="O4" s="88" t="n">
        <x:v>0.0035</x:v>
      </x:c>
      <x:c r="P4" s="77" t="b">
        <x:v>0</x:v>
      </x:c>
      <x:c r="Q4" s="17" t="str">
        <x:v>operational</x:v>
      </x:c>
      <x:c r="R4" s="17" t="str">
        <x:v>operational</x:v>
      </x:c>
      <x:c r="S4" s="77" t="b">
        <x:v>0</x:v>
      </x:c>
      <x:c r="T4" s="17" t="str">
        <x:v>data_center</x:v>
      </x:c>
      <x:c r="U4" s="17" t="str">
        <x:v>data_center | interconnection_facility</x:v>
      </x:c>
      <x:c r="V4" s="17" t="str">
        <x:v>core_data_center</x:v>
      </x:c>
      <x:c r="W4" s="91"/>
      <x:c r="X4" s="91"/>
      <x:c r="Y4" s="91"/>
      <x:c r="Z4" s="35"/>
      <x:c r="AA4" s="17" t="str">
        <x:v>fractracker | peeringdb</x:v>
      </x:c>
      <x:c r="AB4" s="94" t="n">
        <x:v>2</x:v>
      </x:c>
      <x:c r="AC4" s="94" t="n">
        <x:v>2</x:v>
      </x:c>
      <x:c r="AD4" s="23" t="str">
        <x:v>fractracker:493 | peeringdb:7217</x:v>
      </x:c>
      <x:c r="AE4" s="17" t="str">
        <x:v>https://www.dcblox.com/data-centers/chattanooga/ | https://www.peeringdb.com/fac/7217</x:v>
      </x:c>
      <x:c r="AF4" s="18" t="str">
        <x:v>2026-09-03</x:v>
      </x:c>
      <x:c r="AG4" s="85" t="str">
        <x:v>confirmed</x:v>
      </x:c>
      <x:c r="AH4" s="85" t="str">
        <x:v>identified</x:v>
      </x:c>
      <x:c r="AI4" s="96" t="n">
        <x:v>2</x:v>
      </x:c>
      <x:c r="AJ4" s="86" t="b">
        <x:v>1</x:v>
      </x:c>
      <x:c r="AK4" s="96" t="n">
        <x:v>91</x:v>
      </x:c>
      <x:c r="AL4" s="85" t="str">
        <x:v>high</x:v>
      </x:c>
      <x:c r="AM4" s="85" t="str">
        <x:v>Cross-verified facility record; unresolved values remain null rather than inferred.</x:v>
      </x:c>
      <x:c r="AN4" s="85" t="str">
        <x:v>1.1</x:v>
      </x:c>
      <x:c r="AO4" s="85" t="str">
        <x:v>2026-09-03</x:v>
      </x:c>
    </x:row>
    <x:row r="5" ht="30" hidden="0" customHeight="1">
      <x:c r="A5" s="16" t="str">
        <x:v>TNDC-004</x:v>
      </x:c>
      <x:c r="B5" s="23" t="str">
        <x:v>Jailhouse Studios (former Hamilton County Jail)</x:v>
      </x:c>
      <x:c r="C5" s="23" t="str">
        <x:v>Urban Story Ventures</x:v>
      </x:c>
      <x:c r="D5" s="23" t="str">
        <x:v>Urban Story Ventures</x:v>
      </x:c>
      <x:c r="E5" s="23" t="str">
        <x:v>601 Walnut St</x:v>
      </x:c>
      <x:c r="F5" s="17" t="str">
        <x:v>Chattanooga</x:v>
      </x:c>
      <x:c r="G5" s="26" t="str">
        <x:v>Hamilton</x:v>
      </x:c>
      <x:c r="H5" s="17" t="str">
        <x:v>TN</x:v>
      </x:c>
      <x:c r="I5" s="17" t="str">
        <x:v>37402</x:v>
      </x:c>
      <x:c r="J5" s="29" t="n">
        <x:v>35.049557</x:v>
      </x:c>
      <x:c r="K5" s="29" t="n">
        <x:v>-85.30803</x:v>
      </x:c>
      <x:c r="L5" s="17" t="str">
        <x:v>address_or_site</x:v>
      </x:c>
      <x:c r="M5" s="17" t="str">
        <x:v>high</x:v>
      </x:c>
      <x:c r="N5" s="23" t="str">
        <x:v>fractracker:1768853682905-5418</x:v>
      </x:c>
      <x:c r="O5" s="88" t="n">
        <x:v>0.4469</x:v>
      </x:c>
      <x:c r="P5" s="77" t="b">
        <x:v>0</x:v>
      </x:c>
      <x:c r="Q5" s="17" t="str">
        <x:v>under_construction</x:v>
      </x:c>
      <x:c r="R5" s="17" t="str">
        <x:v>proposed | under_construction</x:v>
      </x:c>
      <x:c r="S5" s="77" t="b">
        <x:v>1</x:v>
      </x:c>
      <x:c r="T5" s="17" t="str">
        <x:v>data_center</x:v>
      </x:c>
      <x:c r="U5" s="17" t="str">
        <x:v>data_center</x:v>
      </x:c>
      <x:c r="V5" s="17" t="str">
        <x:v>core_data_center</x:v>
      </x:c>
      <x:c r="W5" s="91"/>
      <x:c r="X5" s="91"/>
      <x:c r="Y5" s="91"/>
      <x:c r="Z5" s="35"/>
      <x:c r="AA5" s="17" t="str">
        <x:v>compute_atlas | fractracker</x:v>
      </x:c>
      <x:c r="AB5" s="94" t="n">
        <x:v>2</x:v>
      </x:c>
      <x:c r="AC5" s="94" t="n">
        <x:v>2</x:v>
      </x:c>
      <x:c r="AD5" s="23" t="str">
        <x:v>compute_atlas:jailhouse-studios-chattanooga-tn | fractracker:1768853682905-5418</x:v>
      </x:c>
      <x:c r="AE5" s="17" t="str">
        <x:v>https://foxchattanooga.com/news/local/hamilton-county-advances-plan-to-convert-old-jail-into-ai-data-center-and-music-studio | https://www.chattanoogan.com/2026/3/18/516194/County-Commission-Approves-Lease-For.aspx | https://www.datacenterdynamics.com/en/news/former-jail-in-chattanooga-tennessee-targeted-for-production-space-and-data-center/ | https://newschannel9.com/news/local/residents-rally-against-proposed-ai-data-center-inside-old-hamilton-county-jail | https://urbanstoryventures.com/citys-new-jailhouse-studios-the-worlds-first-quantum-ready-sovereign-data-processing-and-ai-center-with-an-integrated-creator-campus/</x:v>
      </x:c>
      <x:c r="AF5" s="18" t="str">
        <x:v>2026-08-15</x:v>
      </x:c>
      <x:c r="AG5" s="85" t="str">
        <x:v>confirmed</x:v>
      </x:c>
      <x:c r="AH5" s="85" t="str">
        <x:v>identified</x:v>
      </x:c>
      <x:c r="AI5" s="96" t="n">
        <x:v>5</x:v>
      </x:c>
      <x:c r="AJ5" s="86" t="b">
        <x:v>1</x:v>
      </x:c>
      <x:c r="AK5" s="96" t="n">
        <x:v>90</x:v>
      </x:c>
      <x:c r="AL5" s="85" t="str">
        <x:v>high</x:v>
      </x:c>
      <x:c r="AM5" s="85" t="str">
        <x:v>Cross-verified facility record; unresolved values remain null rather than inferred.</x:v>
      </x:c>
      <x:c r="AN5" s="85" t="str">
        <x:v>1.1</x:v>
      </x:c>
      <x:c r="AO5" s="85" t="str">
        <x:v>2026-09-03</x:v>
      </x:c>
    </x:row>
    <x:row r="6" ht="30" hidden="0" customHeight="1">
      <x:c r="A6" s="16" t="str">
        <x:v>TNDC-005</x:v>
      </x:c>
      <x:c r="B6" s="23" t="str">
        <x:v>Peace Communications CHA1</x:v>
      </x:c>
      <x:c r="C6" s="23" t="str">
        <x:v>Scipio Technologies</x:v>
      </x:c>
      <x:c r="D6" s="23" t="str">
        <x:v>Peace Communications | Scipio Technologies</x:v>
      </x:c>
      <x:c r="E6" s="23" t="str">
        <x:v>1100 E 11th Street</x:v>
      </x:c>
      <x:c r="F6" s="17" t="str">
        <x:v>Chattanooga</x:v>
      </x:c>
      <x:c r="G6" s="26" t="str">
        <x:v>Hamilton</x:v>
      </x:c>
      <x:c r="H6" s="17" t="str">
        <x:v>TN</x:v>
      </x:c>
      <x:c r="I6" s="17" t="str">
        <x:v>37403</x:v>
      </x:c>
      <x:c r="J6" s="29" t="n">
        <x:v>35.03746</x:v>
      </x:c>
      <x:c r="K6" s="29" t="n">
        <x:v>-85.293181</x:v>
      </x:c>
      <x:c r="L6" s="17" t="str">
        <x:v>address_or_site</x:v>
      </x:c>
      <x:c r="M6" s="17" t="str">
        <x:v>high</x:v>
      </x:c>
      <x:c r="N6" s="23" t="str">
        <x:v>peeringdb:14177</x:v>
      </x:c>
      <x:c r="O6" s="88"/>
      <x:c r="P6" s="77" t="b">
        <x:v>0</x:v>
      </x:c>
      <x:c r="Q6" s="17" t="str">
        <x:v>operational</x:v>
      </x:c>
      <x:c r="R6" s="17" t="str">
        <x:v>operational</x:v>
      </x:c>
      <x:c r="S6" s="77" t="b">
        <x:v>0</x:v>
      </x:c>
      <x:c r="T6" s="17" t="str">
        <x:v>interconnection_facility</x:v>
      </x:c>
      <x:c r="U6" s="17" t="str">
        <x:v>interconnection_facility</x:v>
      </x:c>
      <x:c r="V6" s="17" t="str">
        <x:v>core_data_center</x:v>
      </x:c>
      <x:c r="W6" s="91"/>
      <x:c r="X6" s="91"/>
      <x:c r="Y6" s="91"/>
      <x:c r="Z6" s="35"/>
      <x:c r="AA6" s="17" t="str">
        <x:v>peeringdb | scipio_official</x:v>
      </x:c>
      <x:c r="AB6" s="94" t="n">
        <x:v>2</x:v>
      </x:c>
      <x:c r="AC6" s="94" t="n">
        <x:v>2</x:v>
      </x:c>
      <x:c r="AD6" s="23" t="str">
        <x:v>peeringdb:14177 | scipio:chattanooga</x:v>
      </x:c>
      <x:c r="AE6" s="17" t="str">
        <x:v>https://www.peacecom.net/pages/colocation | https://scipiotech.com/support/</x:v>
      </x:c>
      <x:c r="AF6" s="18" t="str">
        <x:v>2026-09-03</x:v>
      </x:c>
      <x:c r="AG6" s="85" t="str">
        <x:v>confirmed</x:v>
      </x:c>
      <x:c r="AH6" s="85" t="str">
        <x:v>identified</x:v>
      </x:c>
      <x:c r="AI6" s="96" t="n">
        <x:v>2</x:v>
      </x:c>
      <x:c r="AJ6" s="86" t="b">
        <x:v>1</x:v>
      </x:c>
      <x:c r="AK6" s="96" t="n">
        <x:v>91</x:v>
      </x:c>
      <x:c r="AL6" s="85" t="str">
        <x:v>high</x:v>
      </x:c>
      <x:c r="AM6" s="85" t="str">
        <x:v>Peace Communications rebranded as Scipio Technologies in 2024; current operator normalized while legacy names are preserved.</x:v>
      </x:c>
      <x:c r="AN6" s="85" t="str">
        <x:v>1.1</x:v>
      </x:c>
      <x:c r="AO6" s="85" t="str">
        <x:v>2026-09-03</x:v>
      </x:c>
    </x:row>
    <x:row r="7" ht="30" hidden="0" customHeight="1">
      <x:c r="A7" s="16" t="str">
        <x:v>TNDC-006</x:v>
      </x:c>
      <x:c r="B7" s="23" t="str">
        <x:v>Cielo Montgomery County AI Campus</x:v>
      </x:c>
      <x:c r="C7" s="23" t="str">
        <x:v>Cielo Digital Infrastructure</x:v>
      </x:c>
      <x:c r="D7" s="23" t="str">
        <x:v>Cielo Digital Infrastructure</x:v>
      </x:c>
      <x:c r="E7" s="23"/>
      <x:c r="F7" s="17" t="str">
        <x:v>Clarksville</x:v>
      </x:c>
      <x:c r="G7" s="26" t="str">
        <x:v>Montgomery</x:v>
      </x:c>
      <x:c r="H7" s="17" t="str">
        <x:v>TN</x:v>
      </x:c>
      <x:c r="I7" s="17"/>
      <x:c r="J7" s="29" t="n">
        <x:v>36.53</x:v>
      </x:c>
      <x:c r="K7" s="29" t="n">
        <x:v>-87.36</x:v>
      </x:c>
      <x:c r="L7" s="17" t="str">
        <x:v>exact</x:v>
      </x:c>
      <x:c r="M7" s="17" t="str">
        <x:v>medium</x:v>
      </x:c>
      <x:c r="N7" s="23" t="str">
        <x:v>compute_atlas:cielo-clarksville-tn</x:v>
      </x:c>
      <x:c r="O7" s="88" t="n">
        <x:v>5.0033</x:v>
      </x:c>
      <x:c r="P7" s="77" t="b">
        <x:v>1</x:v>
      </x:c>
      <x:c r="Q7" s="17" t="str">
        <x:v>proposed</x:v>
      </x:c>
      <x:c r="R7" s="17" t="str">
        <x:v>proposed</x:v>
      </x:c>
      <x:c r="S7" s="77" t="b">
        <x:v>0</x:v>
      </x:c>
      <x:c r="T7" s="17" t="str">
        <x:v>data_center</x:v>
      </x:c>
      <x:c r="U7" s="17" t="str">
        <x:v>data_center</x:v>
      </x:c>
      <x:c r="V7" s="17" t="str">
        <x:v>core_data_center</x:v>
      </x:c>
      <x:c r="W7" s="91" t="n">
        <x:v>350</x:v>
      </x:c>
      <x:c r="X7" s="91"/>
      <x:c r="Y7" s="91" t="n">
        <x:v>107</x:v>
      </x:c>
      <x:c r="Z7" s="35"/>
      <x:c r="AA7" s="17" t="str">
        <x:v>compute_atlas | fractracker</x:v>
      </x:c>
      <x:c r="AB7" s="94" t="n">
        <x:v>2</x:v>
      </x:c>
      <x:c r="AC7" s="94" t="n">
        <x:v>2</x:v>
      </x:c>
      <x:c r="AD7" s="23" t="str">
        <x:v>compute_atlas:cielo-clarksville-tn | fractracker:495</x:v>
      </x:c>
      <x:c r="AE7" s="17" t="str">
        <x:v>https://cieloinfra.com/ | https://cleanview.co/data-centers/tennessee/2037/cielo-clarksville-data-center | https://www.arcgis.com/home/item.html?id=597555ce8e4a4892a030784a7c657fdd | https://www.datacenterdynamics.com/en/news/cielo-digital-infrastructure-plans-300mw-data-center-campus-in-south-carolina/ | https://www.servercountry.org/policy/tennessee/</x:v>
      </x:c>
      <x:c r="AF7" s="18" t="str">
        <x:v>2026-09-03</x:v>
      </x:c>
      <x:c r="AG7" s="85" t="str">
        <x:v>candidate</x:v>
      </x:c>
      <x:c r="AH7" s="85" t="str">
        <x:v>reported_sponsor_unverified</x:v>
      </x:c>
      <x:c r="AI7" s="96" t="n">
        <x:v>5</x:v>
      </x:c>
      <x:c r="AJ7" s="86" t="b">
        <x:v>1</x:v>
      </x:c>
      <x:c r="AK7" s="96" t="n">
        <x:v>75</x:v>
      </x:c>
      <x:c r="AL7" s="85" t="str">
        <x:v>medium</x:v>
      </x:c>
      <x:c r="AM7" s="85" t="str">
        <x:v>Candidate/unverified market listing. June 2026 reporting said local planning officials had no data-center proposal under discussion; retain for monitoring, not as a confirmed treatment site.</x:v>
      </x:c>
      <x:c r="AN7" s="85" t="str">
        <x:v>1.1</x:v>
      </x:c>
      <x:c r="AO7" s="85" t="str">
        <x:v>2026-09-03</x:v>
      </x:c>
    </x:row>
    <x:row r="8" ht="30" hidden="0" customHeight="1">
      <x:c r="A8" s="16" t="str">
        <x:v>TNDC-007</x:v>
      </x:c>
      <x:c r="B8" s="23" t="str">
        <x:v>Google Montgomery County Data Center</x:v>
      </x:c>
      <x:c r="C8" s="23" t="str">
        <x:v>Google</x:v>
      </x:c>
      <x:c r="D8" s="23" t="str">
        <x:v>Google</x:v>
      </x:c>
      <x:c r="E8" s="23" t="str">
        <x:v>1000 Boolean Dr</x:v>
      </x:c>
      <x:c r="F8" s="17" t="str">
        <x:v>Clarksville</x:v>
      </x:c>
      <x:c r="G8" s="26" t="str">
        <x:v>Montgomery</x:v>
      </x:c>
      <x:c r="H8" s="17" t="str">
        <x:v>TN</x:v>
      </x:c>
      <x:c r="I8" s="17" t="str">
        <x:v>37040</x:v>
      </x:c>
      <x:c r="J8" s="29" t="n">
        <x:v>36.62078</x:v>
      </x:c>
      <x:c r="K8" s="29" t="n">
        <x:v>-87.2622</x:v>
      </x:c>
      <x:c r="L8" s="17" t="str">
        <x:v>address_or_site</x:v>
      </x:c>
      <x:c r="M8" s="17" t="str">
        <x:v>medium</x:v>
      </x:c>
      <x:c r="N8" s="23" t="str">
        <x:v>fractracker:494</x:v>
      </x:c>
      <x:c r="O8" s="88" t="n">
        <x:v>13.66</x:v>
      </x:c>
      <x:c r="P8" s="77" t="b">
        <x:v>1</x:v>
      </x:c>
      <x:c r="Q8" s="17" t="str">
        <x:v>operational</x:v>
      </x:c>
      <x:c r="R8" s="17" t="str">
        <x:v>operational</x:v>
      </x:c>
      <x:c r="S8" s="77" t="b">
        <x:v>0</x:v>
      </x:c>
      <x:c r="T8" s="17" t="str">
        <x:v>data_center</x:v>
      </x:c>
      <x:c r="U8" s="17" t="str">
        <x:v>data_center</x:v>
      </x:c>
      <x:c r="V8" s="17" t="str">
        <x:v>core_data_center</x:v>
      </x:c>
      <x:c r="W8" s="91"/>
      <x:c r="X8" s="91"/>
      <x:c r="Y8" s="91"/>
      <x:c r="Z8" s="35" t="n">
        <x:v>600000000</x:v>
      </x:c>
      <x:c r="AA8" s="17" t="str">
        <x:v>compute_atlas | fractracker</x:v>
      </x:c>
      <x:c r="AB8" s="94" t="n">
        <x:v>2</x:v>
      </x:c>
      <x:c r="AC8" s="94" t="n">
        <x:v>2</x:v>
      </x:c>
      <x:c r="AD8" s="23" t="str">
        <x:v>compute_atlas:google-montgomery-county-tn | fractracker:494</x:v>
      </x:c>
      <x:c r="AE8" s="17" t="str">
        <x:v>https://clarksvillenow.com/local/google-officially-opens-clarksville-montgomery-county-data-center/ | https://datacenters.google/locations/montgomery-county-tennessee/ | https://tnecd.com/news/governor-haslam-commissioner-boyd-announce-google-to-locate-new-data-center-in-clarksville/</x:v>
      </x:c>
      <x:c r="AF8" s="18" t="str">
        <x:v>2026-07-06</x:v>
      </x:c>
      <x:c r="AG8" s="85" t="str">
        <x:v>confirmed</x:v>
      </x:c>
      <x:c r="AH8" s="85" t="str">
        <x:v>identified</x:v>
      </x:c>
      <x:c r="AI8" s="96" t="n">
        <x:v>3</x:v>
      </x:c>
      <x:c r="AJ8" s="86" t="b">
        <x:v>1</x:v>
      </x:c>
      <x:c r="AK8" s="96" t="n">
        <x:v>88</x:v>
      </x:c>
      <x:c r="AL8" s="85" t="str">
        <x:v>high</x:v>
      </x:c>
      <x:c r="AM8" s="85" t="str">
        <x:v>Cross-verified facility record; unresolved values remain null rather than inferred.</x:v>
      </x:c>
      <x:c r="AN8" s="85" t="str">
        <x:v>1.1</x:v>
      </x:c>
      <x:c r="AO8" s="85" t="str">
        <x:v>2026-09-03</x:v>
      </x:c>
    </x:row>
    <x:row r="9" ht="30" hidden="0" customHeight="1">
      <x:c r="A9" s="16" t="str">
        <x:v>TNDC-008</x:v>
      </x:c>
      <x:c r="B9" s="23" t="str">
        <x:v>Collierville Enterprise Data Center (FedEx World Technology Center Campus)</x:v>
      </x:c>
      <x:c r="C9" s="23" t="str">
        <x:v>Aphorio Carter</x:v>
      </x:c>
      <x:c r="D9" s="23" t="str">
        <x:v>Aphorio Carter</x:v>
      </x:c>
      <x:c r="E9" s="23" t="str">
        <x:v>9 FedEx Pkwy</x:v>
      </x:c>
      <x:c r="F9" s="17" t="str">
        <x:v>Collierville</x:v>
      </x:c>
      <x:c r="G9" s="26" t="str">
        <x:v>Shelby</x:v>
      </x:c>
      <x:c r="H9" s="17" t="str">
        <x:v>TN</x:v>
      </x:c>
      <x:c r="I9" s="17" t="str">
        <x:v>38017</x:v>
      </x:c>
      <x:c r="J9" s="29" t="n">
        <x:v>35.04204</x:v>
      </x:c>
      <x:c r="K9" s="29" t="n">
        <x:v>-89.66453</x:v>
      </x:c>
      <x:c r="L9" s="17" t="str">
        <x:v>address_or_site</x:v>
      </x:c>
      <x:c r="M9" s="17" t="str">
        <x:v>high</x:v>
      </x:c>
      <x:c r="N9" s="23" t="str">
        <x:v>compute_atlas:aphorio-carter-collierville-tn</x:v>
      </x:c>
      <x:c r="O9" s="88"/>
      <x:c r="P9" s="77" t="b">
        <x:v>0</x:v>
      </x:c>
      <x:c r="Q9" s="17" t="str">
        <x:v>operational</x:v>
      </x:c>
      <x:c r="R9" s="17" t="str">
        <x:v>operational</x:v>
      </x:c>
      <x:c r="S9" s="77" t="b">
        <x:v>0</x:v>
      </x:c>
      <x:c r="T9" s="17" t="str">
        <x:v>data_center</x:v>
      </x:c>
      <x:c r="U9" s="17" t="str">
        <x:v>data_center</x:v>
      </x:c>
      <x:c r="V9" s="17" t="str">
        <x:v>core_data_center</x:v>
      </x:c>
      <x:c r="W9" s="91"/>
      <x:c r="X9" s="91"/>
      <x:c r="Y9" s="91" t="n">
        <x:v>4.62</x:v>
      </x:c>
      <x:c r="Z9" s="35" t="n">
        <x:v>13000000</x:v>
      </x:c>
      <x:c r="AA9" s="17" t="str">
        <x:v>compute_atlas | colomap</x:v>
      </x:c>
      <x:c r="AB9" s="94" t="n">
        <x:v>2</x:v>
      </x:c>
      <x:c r="AC9" s="94" t="n">
        <x:v>2</x:v>
      </x:c>
      <x:c r="AD9" s="23" t="str">
        <x:v>compute_atlas:aphorio-carter-collierville-tn | colomap:collierville-enterprise</x:v>
      </x:c>
      <x:c r="AE9" s="17" t="str">
        <x:v>https://baxtel.com/data-center/memphis | https://www.prnewswire.com/news-releases/aphorio-carter-acquires-data-center-in-collierville-tn-301983903.html | https://colomap.com/facilities/collierville-enterprise-data-center/</x:v>
      </x:c>
      <x:c r="AF9" s="18" t="str">
        <x:v>2026-09-03</x:v>
      </x:c>
      <x:c r="AG9" s="85" t="str">
        <x:v>confirmed</x:v>
      </x:c>
      <x:c r="AH9" s="85" t="str">
        <x:v>identified</x:v>
      </x:c>
      <x:c r="AI9" s="96" t="n">
        <x:v>3</x:v>
      </x:c>
      <x:c r="AJ9" s="86" t="b">
        <x:v>1</x:v>
      </x:c>
      <x:c r="AK9" s="96" t="n">
        <x:v>98</x:v>
      </x:c>
      <x:c r="AL9" s="85" t="str">
        <x:v>high</x:v>
      </x:c>
      <x:c r="AM9" s="85" t="str">
        <x:v>Cross-verified facility record; unresolved values remain null rather than inferred.</x:v>
      </x:c>
      <x:c r="AN9" s="85" t="str">
        <x:v>1.1</x:v>
      </x:c>
      <x:c r="AO9" s="85" t="str">
        <x:v>2026-09-03</x:v>
      </x:c>
    </x:row>
    <x:row r="10" ht="30" hidden="0" customHeight="1">
      <x:c r="A10" s="16" t="str">
        <x:v>TNDC-009</x:v>
      </x:c>
      <x:c r="B10" s="23" t="str">
        <x:v>CleanSpark West Crossville Bitcoin Mining Facility</x:v>
      </x:c>
      <x:c r="C10" s="23" t="str">
        <x:v>CleanSpark, Inc.</x:v>
      </x:c>
      <x:c r="D10" s="23" t="str">
        <x:v>CleanSpark, Inc.</x:v>
      </x:c>
      <x:c r="E10" s="23"/>
      <x:c r="F10" s="17" t="str">
        <x:v>Crossville</x:v>
      </x:c>
      <x:c r="G10" s="26" t="str">
        <x:v>Cumberland</x:v>
      </x:c>
      <x:c r="H10" s="17" t="str">
        <x:v>TN</x:v>
      </x:c>
      <x:c r="I10" s="17"/>
      <x:c r="J10" s="29" t="n">
        <x:v>35.9487</x:v>
      </x:c>
      <x:c r="K10" s="29" t="n">
        <x:v>-85.0269</x:v>
      </x:c>
      <x:c r="L10" s="17" t="str">
        <x:v>approximate</x:v>
      </x:c>
      <x:c r="M10" s="17" t="str">
        <x:v>medium</x:v>
      </x:c>
      <x:c r="N10" s="23" t="str">
        <x:v>compute_atlas:cleanspark-west-crossville-tn</x:v>
      </x:c>
      <x:c r="O10" s="88"/>
      <x:c r="P10" s="77" t="b">
        <x:v>0</x:v>
      </x:c>
      <x:c r="Q10" s="17" t="str">
        <x:v>operational</x:v>
      </x:c>
      <x:c r="R10" s="17" t="str">
        <x:v>operational</x:v>
      </x:c>
      <x:c r="S10" s="77" t="b">
        <x:v>0</x:v>
      </x:c>
      <x:c r="T10" s="17" t="str">
        <x:v>crypto_mining</x:v>
      </x:c>
      <x:c r="U10" s="17" t="str">
        <x:v>crypto_mining</x:v>
      </x:c>
      <x:c r="V10" s="17" t="str">
        <x:v>crypto_mining</x:v>
      </x:c>
      <x:c r="W10" s="91"/>
      <x:c r="X10" s="91"/>
      <x:c r="Y10" s="91"/>
      <x:c r="Z10" s="35"/>
      <x:c r="AA10" s="17" t="str">
        <x:v>compute_atlas</x:v>
      </x:c>
      <x:c r="AB10" s="94" t="n">
        <x:v>1</x:v>
      </x:c>
      <x:c r="AC10" s="94" t="n">
        <x:v>1</x:v>
      </x:c>
      <x:c r="AD10" s="23" t="str">
        <x:v>compute_atlas:cleanspark-west-crossville-tn</x:v>
      </x:c>
      <x:c r="AE10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F10" s="18" t="str">
        <x:v>2026-08-05</x:v>
      </x:c>
      <x:c r="AG10" s="85" t="str">
        <x:v>confirmed</x:v>
      </x:c>
      <x:c r="AH10" s="85" t="str">
        <x:v>identified</x:v>
      </x:c>
      <x:c r="AI10" s="96" t="n">
        <x:v>2</x:v>
      </x:c>
      <x:c r="AJ10" s="86" t="b">
        <x:v>1</x:v>
      </x:c>
      <x:c r="AK10" s="96" t="n">
        <x:v>70</x:v>
      </x:c>
      <x:c r="AL10" s="85" t="str">
        <x:v>medium</x:v>
      </x:c>
      <x:c r="AM10" s="85" t="str">
        <x:v>Cross-verified facility record; unresolved values remain null rather than inferred.</x:v>
      </x:c>
      <x:c r="AN10" s="85" t="str">
        <x:v>1.1</x:v>
      </x:c>
      <x:c r="AO10" s="85" t="str">
        <x:v>2026-09-03</x:v>
      </x:c>
    </x:row>
    <x:row r="11" ht="30" hidden="0" customHeight="1">
      <x:c r="A11" s="16" t="str">
        <x:v>TNDC-010</x:v>
      </x:c>
      <x:c r="B11" s="23" t="str">
        <x:v>CleanSpark Decatur Bitcoin Mining Facility</x:v>
      </x:c>
      <x:c r="C11" s="23" t="str">
        <x:v>CleanSpark, Inc.</x:v>
      </x:c>
      <x:c r="D11" s="23" t="str">
        <x:v>CleanSpark, Inc.</x:v>
      </x:c>
      <x:c r="E11" s="23"/>
      <x:c r="F11" s="17" t="str">
        <x:v>Decatur</x:v>
      </x:c>
      <x:c r="G11" s="26" t="str">
        <x:v>Meigs</x:v>
      </x:c>
      <x:c r="H11" s="17" t="str">
        <x:v>TN</x:v>
      </x:c>
      <x:c r="I11" s="17"/>
      <x:c r="J11" s="29" t="n">
        <x:v>35.5148</x:v>
      </x:c>
      <x:c r="K11" s="29" t="n">
        <x:v>-84.7902</x:v>
      </x:c>
      <x:c r="L11" s="17" t="str">
        <x:v>approximate</x:v>
      </x:c>
      <x:c r="M11" s="17" t="str">
        <x:v>medium</x:v>
      </x:c>
      <x:c r="N11" s="23" t="str">
        <x:v>compute_atlas:cleanspark-decatur-tn</x:v>
      </x:c>
      <x:c r="O11" s="88"/>
      <x:c r="P11" s="77" t="b">
        <x:v>0</x:v>
      </x:c>
      <x:c r="Q11" s="17" t="str">
        <x:v>operational</x:v>
      </x:c>
      <x:c r="R11" s="17" t="str">
        <x:v>operational</x:v>
      </x:c>
      <x:c r="S11" s="77" t="b">
        <x:v>0</x:v>
      </x:c>
      <x:c r="T11" s="17" t="str">
        <x:v>crypto_mining</x:v>
      </x:c>
      <x:c r="U11" s="17" t="str">
        <x:v>crypto_mining</x:v>
      </x:c>
      <x:c r="V11" s="17" t="str">
        <x:v>crypto_mining</x:v>
      </x:c>
      <x:c r="W11" s="91"/>
      <x:c r="X11" s="91"/>
      <x:c r="Y11" s="91"/>
      <x:c r="Z11" s="35"/>
      <x:c r="AA11" s="17" t="str">
        <x:v>compute_atlas</x:v>
      </x:c>
      <x:c r="AB11" s="94" t="n">
        <x:v>1</x:v>
      </x:c>
      <x:c r="AC11" s="94" t="n">
        <x:v>1</x:v>
      </x:c>
      <x:c r="AD11" s="23" t="str">
        <x:v>compute_atlas:cleanspark-decatur-tn</x:v>
      </x:c>
      <x:c r="AE11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F11" s="18" t="str">
        <x:v>2026-08-05</x:v>
      </x:c>
      <x:c r="AG11" s="85" t="str">
        <x:v>confirmed</x:v>
      </x:c>
      <x:c r="AH11" s="85" t="str">
        <x:v>identified</x:v>
      </x:c>
      <x:c r="AI11" s="96" t="n">
        <x:v>2</x:v>
      </x:c>
      <x:c r="AJ11" s="86" t="b">
        <x:v>1</x:v>
      </x:c>
      <x:c r="AK11" s="96" t="n">
        <x:v>70</x:v>
      </x:c>
      <x:c r="AL11" s="85" t="str">
        <x:v>medium</x:v>
      </x:c>
      <x:c r="AM11" s="85" t="str">
        <x:v>Cross-verified facility record; unresolved values remain null rather than inferred.</x:v>
      </x:c>
      <x:c r="AN11" s="85" t="str">
        <x:v>1.1</x:v>
      </x:c>
      <x:c r="AO11" s="85" t="str">
        <x:v>2026-09-03</x:v>
      </x:c>
    </x:row>
    <x:row r="12" ht="30" hidden="0" customHeight="1">
      <x:c r="A12" s="16" t="str">
        <x:v>TNDC-011</x:v>
      </x:c>
      <x:c r="B12" s="23" t="str">
        <x:v>Flexential - Nashville/Cool Springs (NAS02/03)</x:v>
      </x:c>
      <x:c r="C12" s="23" t="str">
        <x:v>Flexential</x:v>
      </x:c>
      <x:c r="D12" s="23" t="str">
        <x:v>Flexential | Flexential Corp.</x:v>
      </x:c>
      <x:c r="E12" s="23" t="str">
        <x:v>425 Duke Drive, Suite 400</x:v>
      </x:c>
      <x:c r="F12" s="17" t="str">
        <x:v>Franklin</x:v>
      </x:c>
      <x:c r="G12" s="26" t="str">
        <x:v>Williamson</x:v>
      </x:c>
      <x:c r="H12" s="17" t="str">
        <x:v>TN</x:v>
      </x:c>
      <x:c r="I12" s="17" t="str">
        <x:v>37067</x:v>
      </x:c>
      <x:c r="J12" s="29" t="n">
        <x:v>35.951091</x:v>
      </x:c>
      <x:c r="K12" s="29" t="n">
        <x:v>-86.833251</x:v>
      </x:c>
      <x:c r="L12" s="17" t="str">
        <x:v>address_or_site</x:v>
      </x:c>
      <x:c r="M12" s="17" t="str">
        <x:v>high</x:v>
      </x:c>
      <x:c r="N12" s="23" t="str">
        <x:v>peeringdb:5004</x:v>
      </x:c>
      <x:c r="O12" s="88" t="n">
        <x:v>0.0149</x:v>
      </x:c>
      <x:c r="P12" s="77" t="b">
        <x:v>0</x:v>
      </x:c>
      <x:c r="Q12" s="17" t="str">
        <x:v>operational</x:v>
      </x:c>
      <x:c r="R12" s="17" t="str">
        <x:v>operational</x:v>
      </x:c>
      <x:c r="S12" s="77" t="b">
        <x:v>0</x:v>
      </x:c>
      <x:c r="T12" s="17" t="str">
        <x:v>data_center</x:v>
      </x:c>
      <x:c r="U12" s="17" t="str">
        <x:v>data_center | interconnection_facility</x:v>
      </x:c>
      <x:c r="V12" s="17" t="str">
        <x:v>core_data_center</x:v>
      </x:c>
      <x:c r="W12" s="91"/>
      <x:c r="X12" s="91"/>
      <x:c r="Y12" s="91"/>
      <x:c r="Z12" s="35"/>
      <x:c r="AA12" s="17" t="str">
        <x:v>compute_atlas | peeringdb</x:v>
      </x:c>
      <x:c r="AB12" s="94" t="n">
        <x:v>2</x:v>
      </x:c>
      <x:c r="AC12" s="94" t="n">
        <x:v>2</x:v>
      </x:c>
      <x:c r="AD12" s="23" t="str">
        <x:v>compute_atlas:flexential-nashville-cool-springs-tn | peeringdb:5004</x:v>
      </x:c>
      <x:c r="AE12" s="17" t="str">
        <x:v>https://www.arcgis.com/home/item.html?id=597555ce8e4a4892a030784a7c657fdd | https://www.flexential.com/data-centers/tn/nashville/cool-springs-data-center | https://www.openstreetmap.org/way/1210515186 | https://www.flexential.com/</x:v>
      </x:c>
      <x:c r="AF12" s="18" t="str">
        <x:v>2026-07-23</x:v>
      </x:c>
      <x:c r="AG12" s="85" t="str">
        <x:v>confirmed</x:v>
      </x:c>
      <x:c r="AH12" s="85" t="str">
        <x:v>identified</x:v>
      </x:c>
      <x:c r="AI12" s="96" t="n">
        <x:v>3</x:v>
      </x:c>
      <x:c r="AJ12" s="86" t="b">
        <x:v>1</x:v>
      </x:c>
      <x:c r="AK12" s="96" t="n">
        <x:v>98</x:v>
      </x:c>
      <x:c r="AL12" s="85" t="str">
        <x:v>high</x:v>
      </x:c>
      <x:c r="AM12" s="85" t="str">
        <x:v>Cross-verified facility record; unresolved values remain null rather than inferred.</x:v>
      </x:c>
      <x:c r="AN12" s="85" t="str">
        <x:v>1.1</x:v>
      </x:c>
      <x:c r="AO12" s="85" t="str">
        <x:v>2026-09-03</x:v>
      </x:c>
    </x:row>
    <x:row r="13" ht="30" hidden="0" customHeight="1">
      <x:c r="A13" s="16" t="str">
        <x:v>TNDC-012</x:v>
      </x:c>
      <x:c r="B13" s="23" t="str">
        <x:v>Flexential - Nashville/Franklin (NAS05/06)</x:v>
      </x:c>
      <x:c r="C13" s="23" t="str">
        <x:v>Flexential</x:v>
      </x:c>
      <x:c r="D13" s="23" t="str">
        <x:v>Flexential | Flexential Corp.</x:v>
      </x:c>
      <x:c r="E13" s="23" t="str">
        <x:v>4600 Carothers Parkway</x:v>
      </x:c>
      <x:c r="F13" s="17" t="str">
        <x:v>Franklin</x:v>
      </x:c>
      <x:c r="G13" s="26" t="str">
        <x:v>Williamson</x:v>
      </x:c>
      <x:c r="H13" s="17" t="str">
        <x:v>TN</x:v>
      </x:c>
      <x:c r="I13" s="17" t="str">
        <x:v>37067</x:v>
      </x:c>
      <x:c r="J13" s="29" t="n">
        <x:v>35.92028</x:v>
      </x:c>
      <x:c r="K13" s="29" t="n">
        <x:v>-86.815618</x:v>
      </x:c>
      <x:c r="L13" s="17" t="str">
        <x:v>address_or_site</x:v>
      </x:c>
      <x:c r="M13" s="17" t="str">
        <x:v>high</x:v>
      </x:c>
      <x:c r="N13" s="23" t="str">
        <x:v>peeringdb:5005</x:v>
      </x:c>
      <x:c r="O13" s="88" t="n">
        <x:v>0.0171</x:v>
      </x:c>
      <x:c r="P13" s="77" t="b">
        <x:v>0</x:v>
      </x:c>
      <x:c r="Q13" s="17" t="str">
        <x:v>operational</x:v>
      </x:c>
      <x:c r="R13" s="17" t="str">
        <x:v>operational</x:v>
      </x:c>
      <x:c r="S13" s="77" t="b">
        <x:v>0</x:v>
      </x:c>
      <x:c r="T13" s="17" t="str">
        <x:v>data_center</x:v>
      </x:c>
      <x:c r="U13" s="17" t="str">
        <x:v>data_center | interconnection_facility</x:v>
      </x:c>
      <x:c r="V13" s="17" t="str">
        <x:v>core_data_center</x:v>
      </x:c>
      <x:c r="W13" s="91"/>
      <x:c r="X13" s="91"/>
      <x:c r="Y13" s="91"/>
      <x:c r="Z13" s="35"/>
      <x:c r="AA13" s="17" t="str">
        <x:v>compute_atlas | peeringdb</x:v>
      </x:c>
      <x:c r="AB13" s="94" t="n">
        <x:v>2</x:v>
      </x:c>
      <x:c r="AC13" s="94" t="n">
        <x:v>2</x:v>
      </x:c>
      <x:c r="AD13" s="23" t="str">
        <x:v>compute_atlas:flexential-nashville-franklin-tn | peeringdb:5005</x:v>
      </x:c>
      <x:c r="AE13" s="17" t="str">
        <x:v>https://www.arcgis.com/home/item.html?id=597555ce8e4a4892a030784a7c657fdd | https://www.flexential.com/data-centers/tn/nashville/franklin-data-center | https://www.openstreetmap.org/way/942604537 | https://www.flexential.com/</x:v>
      </x:c>
      <x:c r="AF13" s="18" t="str">
        <x:v>2026-07-23</x:v>
      </x:c>
      <x:c r="AG13" s="85" t="str">
        <x:v>confirmed</x:v>
      </x:c>
      <x:c r="AH13" s="85" t="str">
        <x:v>identified</x:v>
      </x:c>
      <x:c r="AI13" s="96" t="n">
        <x:v>3</x:v>
      </x:c>
      <x:c r="AJ13" s="86" t="b">
        <x:v>1</x:v>
      </x:c>
      <x:c r="AK13" s="96" t="n">
        <x:v>98</x:v>
      </x:c>
      <x:c r="AL13" s="85" t="str">
        <x:v>high</x:v>
      </x:c>
      <x:c r="AM13" s="85" t="str">
        <x:v>Cross-verified facility record; unresolved values remain null rather than inferred.</x:v>
      </x:c>
      <x:c r="AN13" s="85" t="str">
        <x:v>1.1</x:v>
      </x:c>
      <x:c r="AO13" s="85" t="str">
        <x:v>2026-09-03</x:v>
      </x:c>
    </x:row>
    <x:row r="14" ht="30" hidden="0" customHeight="1">
      <x:c r="A14" s="16" t="str">
        <x:v>TNDC-013</x:v>
      </x:c>
      <x:c r="B14" s="23" t="str">
        <x:v>TierPoint Nashville</x:v>
      </x:c>
      <x:c r="C14" s="23" t="str">
        <x:v>TierPoint</x:v>
      </x:c>
      <x:c r="D14" s="23" t="str">
        <x:v>TierPoint | TierPoint, LLC</x:v>
      </x:c>
      <x:c r="E14" s="23" t="str">
        <x:v>311 Eddy Lane</x:v>
      </x:c>
      <x:c r="F14" s="17" t="str">
        <x:v>Franklin</x:v>
      </x:c>
      <x:c r="G14" s="26" t="str">
        <x:v>Williamson</x:v>
      </x:c>
      <x:c r="H14" s="17" t="str">
        <x:v>TN</x:v>
      </x:c>
      <x:c r="I14" s="17" t="str">
        <x:v>37064</x:v>
      </x:c>
      <x:c r="J14" s="29" t="n">
        <x:v>35.924575</x:v>
      </x:c>
      <x:c r="K14" s="29" t="n">
        <x:v>-86.85582</x:v>
      </x:c>
      <x:c r="L14" s="17" t="str">
        <x:v>address_or_site</x:v>
      </x:c>
      <x:c r="M14" s="17" t="str">
        <x:v>high</x:v>
      </x:c>
      <x:c r="N14" s="23" t="str">
        <x:v>peeringdb:4374</x:v>
      </x:c>
      <x:c r="O14" s="88" t="n">
        <x:v>0.014</x:v>
      </x:c>
      <x:c r="P14" s="77" t="b">
        <x:v>0</x:v>
      </x:c>
      <x:c r="Q14" s="17" t="str">
        <x:v>operational</x:v>
      </x:c>
      <x:c r="R14" s="17" t="str">
        <x:v>operational</x:v>
      </x:c>
      <x:c r="S14" s="77" t="b">
        <x:v>0</x:v>
      </x:c>
      <x:c r="T14" s="17" t="str">
        <x:v>data_center</x:v>
      </x:c>
      <x:c r="U14" s="17" t="str">
        <x:v>data_center | interconnection_facility</x:v>
      </x:c>
      <x:c r="V14" s="17" t="str">
        <x:v>core_data_center</x:v>
      </x:c>
      <x:c r="W14" s="91"/>
      <x:c r="X14" s="91"/>
      <x:c r="Y14" s="91"/>
      <x:c r="Z14" s="35"/>
      <x:c r="AA14" s="17" t="str">
        <x:v>compute_atlas | peeringdb</x:v>
      </x:c>
      <x:c r="AB14" s="94" t="n">
        <x:v>2</x:v>
      </x:c>
      <x:c r="AC14" s="94" t="n">
        <x:v>2</x:v>
      </x:c>
      <x:c r="AD14" s="23" t="str">
        <x:v>compute_atlas:tierpoint-nashville-tn | peeringdb:4374</x:v>
      </x:c>
      <x:c r="AE14" s="17" t="str">
        <x:v>https://www.arcgis.com/home/item.html?id=597555ce8e4a4892a030784a7c657fdd | https://www.openstreetmap.org/way/819981908 | https://www.tierpoint.com/data-centers/tennessee/nashville/ | https://www.tierpoint.com/data-centers/tennessee/nashville/</x:v>
      </x:c>
      <x:c r="AF14" s="18" t="str">
        <x:v>2026-07-23</x:v>
      </x:c>
      <x:c r="AG14" s="85" t="str">
        <x:v>confirmed</x:v>
      </x:c>
      <x:c r="AH14" s="85" t="str">
        <x:v>identified</x:v>
      </x:c>
      <x:c r="AI14" s="96" t="n">
        <x:v>3</x:v>
      </x:c>
      <x:c r="AJ14" s="86" t="b">
        <x:v>1</x:v>
      </x:c>
      <x:c r="AK14" s="96" t="n">
        <x:v>98</x:v>
      </x:c>
      <x:c r="AL14" s="85" t="str">
        <x:v>high</x:v>
      </x:c>
      <x:c r="AM14" s="85" t="str">
        <x:v>Cross-verified facility record; unresolved values remain null rather than inferred.</x:v>
      </x:c>
      <x:c r="AN14" s="85" t="str">
        <x:v>1.1</x:v>
      </x:c>
      <x:c r="AO14" s="85" t="str">
        <x:v>2026-09-03</x:v>
      </x:c>
    </x:row>
    <x:row r="15" ht="30" hidden="0" customHeight="1">
      <x:c r="A15" s="16" t="str">
        <x:v>TNDC-014</x:v>
      </x:c>
      <x:c r="B15" s="23" t="str">
        <x:v>Centersquare Gallatin (NAS) Campus</x:v>
      </x:c>
      <x:c r="C15" s="23" t="str">
        <x:v>Centersquare</x:v>
      </x:c>
      <x:c r="D15" s="23" t="str">
        <x:v>Centersquare</x:v>
      </x:c>
      <x:c r="E15" s="23" t="str">
        <x:v>1398 Gateway Dr</x:v>
      </x:c>
      <x:c r="F15" s="17" t="str">
        <x:v>Gallatin</x:v>
      </x:c>
      <x:c r="G15" s="26" t="str">
        <x:v>Sumner</x:v>
      </x:c>
      <x:c r="H15" s="17" t="str">
        <x:v>TN</x:v>
      </x:c>
      <x:c r="I15" s="17" t="str">
        <x:v>37066</x:v>
      </x:c>
      <x:c r="J15" s="29" t="n">
        <x:v>36.40406</x:v>
      </x:c>
      <x:c r="K15" s="29" t="n">
        <x:v>-86.39812</x:v>
      </x:c>
      <x:c r="L15" s="17" t="str">
        <x:v>exact</x:v>
      </x:c>
      <x:c r="M15" s="17" t="str">
        <x:v>high</x:v>
      </x:c>
      <x:c r="N15" s="23" t="str">
        <x:v>compute_atlas:centersquare-gallatin-tn</x:v>
      </x:c>
      <x:c r="O15" s="88"/>
      <x:c r="P15" s="77" t="b">
        <x:v>0</x:v>
      </x:c>
      <x:c r="Q15" s="17" t="str">
        <x:v>operational</x:v>
      </x:c>
      <x:c r="R15" s="17" t="str">
        <x:v>operational</x:v>
      </x:c>
      <x:c r="S15" s="77" t="b">
        <x:v>0</x:v>
      </x:c>
      <x:c r="T15" s="17" t="str">
        <x:v>data_center</x:v>
      </x:c>
      <x:c r="U15" s="17" t="str">
        <x:v>data_center</x:v>
      </x:c>
      <x:c r="V15" s="17" t="str">
        <x:v>core_data_center</x:v>
      </x:c>
      <x:c r="W15" s="91"/>
      <x:c r="X15" s="91"/>
      <x:c r="Y15" s="91" t="n">
        <x:v>28.5</x:v>
      </x:c>
      <x:c r="Z15" s="35" t="n">
        <x:v>200000000</x:v>
      </x:c>
      <x:c r="AA15" s="17" t="str">
        <x:v>compute_atlas | baxtel</x:v>
      </x:c>
      <x:c r="AB15" s="94" t="n">
        <x:v>2</x:v>
      </x:c>
      <x:c r="AC15" s="94" t="n">
        <x:v>2</x:v>
      </x:c>
      <x:c r="AD15" s="23" t="str">
        <x:v>compute_atlas:centersquare-gallatin-tn | baxtel:centersquare-gallatin-nas</x:v>
      </x:c>
      <x:c r="AE15" s="17" t="str">
        <x:v>https://baxtel.com/data-center/centersquare-gallatin-nas | https://www.datacenterfrontier.com/cloud/article/11427377/evoque-to-partner-with-archer-datacenters-on-200m-nashville-campus | https://www.newschannel5.com/news/how-big-are-middle-tennessees-data-centers-a-look-at-facilities-already-operating</x:v>
      </x:c>
      <x:c r="AF15" s="18" t="str">
        <x:v>2026-09-03</x:v>
      </x:c>
      <x:c r="AG15" s="85" t="str">
        <x:v>confirmed</x:v>
      </x:c>
      <x:c r="AH15" s="85" t="str">
        <x:v>identified</x:v>
      </x:c>
      <x:c r="AI15" s="96" t="n">
        <x:v>3</x:v>
      </x:c>
      <x:c r="AJ15" s="86" t="b">
        <x:v>1</x:v>
      </x:c>
      <x:c r="AK15" s="96" t="n">
        <x:v>100</x:v>
      </x:c>
      <x:c r="AL15" s="85" t="str">
        <x:v>high</x:v>
      </x:c>
      <x:c r="AM15" s="85" t="str">
        <x:v>Cross-verified facility record; unresolved values remain null rather than inferred.</x:v>
      </x:c>
      <x:c r="AN15" s="85" t="str">
        <x:v>1.1</x:v>
      </x:c>
      <x:c r="AO15" s="85" t="str">
        <x:v>2026-09-03</x:v>
      </x:c>
    </x:row>
    <x:row r="16" ht="30" hidden="0" customHeight="1">
      <x:c r="A16" s="16" t="str">
        <x:v>TNDC-015</x:v>
      </x:c>
      <x:c r="B16" s="23" t="str">
        <x:v>Meta Gallatin Data Center Campus</x:v>
      </x:c>
      <x:c r="C16" s="23" t="str">
        <x:v>Meta</x:v>
      </x:c>
      <x:c r="D16" s="23" t="str">
        <x:v>Meta</x:v>
      </x:c>
      <x:c r="E16" s="23" t="str">
        <x:v>One Meta Lp</x:v>
      </x:c>
      <x:c r="F16" s="17" t="str">
        <x:v>Gallatin</x:v>
      </x:c>
      <x:c r="G16" s="26" t="str">
        <x:v>Sumner</x:v>
      </x:c>
      <x:c r="H16" s="17" t="str">
        <x:v>TN</x:v>
      </x:c>
      <x:c r="I16" s="17" t="str">
        <x:v>37066</x:v>
      </x:c>
      <x:c r="J16" s="29" t="n">
        <x:v>36.41011</x:v>
      </x:c>
      <x:c r="K16" s="29" t="n">
        <x:v>-86.3724</x:v>
      </x:c>
      <x:c r="L16" s="17" t="str">
        <x:v>address_or_site</x:v>
      </x:c>
      <x:c r="M16" s="17" t="str">
        <x:v>medium</x:v>
      </x:c>
      <x:c r="N16" s="23" t="str">
        <x:v>fractracker:496</x:v>
      </x:c>
      <x:c r="O16" s="88" t="n">
        <x:v>6.2572</x:v>
      </x:c>
      <x:c r="P16" s="77" t="b">
        <x:v>1</x:v>
      </x:c>
      <x:c r="Q16" s="17" t="str">
        <x:v>operational</x:v>
      </x:c>
      <x:c r="R16" s="17" t="str">
        <x:v>operational</x:v>
      </x:c>
      <x:c r="S16" s="77" t="b">
        <x:v>0</x:v>
      </x:c>
      <x:c r="T16" s="17" t="str">
        <x:v>data_center</x:v>
      </x:c>
      <x:c r="U16" s="17" t="str">
        <x:v>data_center</x:v>
      </x:c>
      <x:c r="V16" s="17" t="str">
        <x:v>core_data_center</x:v>
      </x:c>
      <x:c r="W16" s="91"/>
      <x:c r="X16" s="91" t="n">
        <x:v>1900000</x:v>
      </x:c>
      <x:c r="Y16" s="91" t="n">
        <x:v>900</x:v>
      </x:c>
      <x:c r="Z16" s="35" t="n">
        <x:v>1500000000</x:v>
      </x:c>
      <x:c r="AA16" s="17" t="str">
        <x:v>compute_atlas | fractracker</x:v>
      </x:c>
      <x:c r="AB16" s="94" t="n">
        <x:v>2</x:v>
      </x:c>
      <x:c r="AC16" s="94" t="n">
        <x:v>2</x:v>
      </x:c>
      <x:c r="AD16" s="23" t="str">
        <x:v>compute_atlas:meta-gallatin-tn | fractracker:496</x:v>
      </x:c>
      <x:c r="AE16" s="17" t="str">
        <x:v>https://datacenters.atmeta.com/2024/11/gallatin-we-are-online/ | https://ttc.tml1.org/2024/11/15/meta-data-center-begins-operations-gallatin | https://w.media/meta-expands-gallatin-data-center-with-nearly-1b-total-investment/ | https://www.datacenterdynamics.com/en/news/meta-brings-data-centers-in-tents-to-gallatin-tennessee/ | https://www.pascalforgallatin.com/post/why-is-gallatin-giving-woolhawk-a-tax-break-when-they-are-considering-raising-our-property-taxes | https://www.weku.org/amsn/2025-11-25/tennessee-has-60-data-centers-nashville-probably-has-more-than-you-think | https://www.datacenterdynamics.com/en/news/meta-to-expand-tennessee-data-center-campus/</x:v>
      </x:c>
      <x:c r="AF16" s="18" t="str">
        <x:v>2026-07-25</x:v>
      </x:c>
      <x:c r="AG16" s="85" t="str">
        <x:v>confirmed</x:v>
      </x:c>
      <x:c r="AH16" s="85" t="str">
        <x:v>identified</x:v>
      </x:c>
      <x:c r="AI16" s="96" t="n">
        <x:v>6</x:v>
      </x:c>
      <x:c r="AJ16" s="86" t="b">
        <x:v>1</x:v>
      </x:c>
      <x:c r="AK16" s="96" t="n">
        <x:v>88</x:v>
      </x:c>
      <x:c r="AL16" s="85" t="str">
        <x:v>high</x:v>
      </x:c>
      <x:c r="AM16" s="85" t="str">
        <x:v>Cross-verified facility record; unresolved values remain null rather than inferred.</x:v>
      </x:c>
      <x:c r="AN16" s="85" t="str">
        <x:v>1.1</x:v>
      </x:c>
      <x:c r="AO16" s="85" t="str">
        <x:v>2026-09-03</x:v>
      </x:c>
    </x:row>
    <x:row r="17" ht="30" hidden="0" customHeight="1">
      <x:c r="A17" s="16" t="str">
        <x:v>TNDC-016</x:v>
      </x:c>
      <x:c r="B17" s="23" t="str">
        <x:v>CleanSpark Jellico Bitcoin Mining Facility</x:v>
      </x:c>
      <x:c r="C17" s="23" t="str">
        <x:v>CleanSpark, Inc.</x:v>
      </x:c>
      <x:c r="D17" s="23" t="str">
        <x:v>CleanSpark, Inc.</x:v>
      </x:c>
      <x:c r="E17" s="23"/>
      <x:c r="F17" s="17" t="str">
        <x:v>Jellico</x:v>
      </x:c>
      <x:c r="G17" s="26" t="str">
        <x:v>Campbell</x:v>
      </x:c>
      <x:c r="H17" s="17" t="str">
        <x:v>TN</x:v>
      </x:c>
      <x:c r="I17" s="17"/>
      <x:c r="J17" s="29" t="n">
        <x:v>36.5825</x:v>
      </x:c>
      <x:c r="K17" s="29" t="n">
        <x:v>-84.1306</x:v>
      </x:c>
      <x:c r="L17" s="17" t="str">
        <x:v>approximate</x:v>
      </x:c>
      <x:c r="M17" s="17" t="str">
        <x:v>medium</x:v>
      </x:c>
      <x:c r="N17" s="23" t="str">
        <x:v>compute_atlas:cleanspark-jellico-tn</x:v>
      </x:c>
      <x:c r="O17" s="88"/>
      <x:c r="P17" s="77" t="b">
        <x:v>0</x:v>
      </x:c>
      <x:c r="Q17" s="17" t="str">
        <x:v>operational</x:v>
      </x:c>
      <x:c r="R17" s="17" t="str">
        <x:v>operational</x:v>
      </x:c>
      <x:c r="S17" s="77" t="b">
        <x:v>0</x:v>
      </x:c>
      <x:c r="T17" s="17" t="str">
        <x:v>crypto_mining</x:v>
      </x:c>
      <x:c r="U17" s="17" t="str">
        <x:v>crypto_mining</x:v>
      </x:c>
      <x:c r="V17" s="17" t="str">
        <x:v>crypto_mining</x:v>
      </x:c>
      <x:c r="W17" s="91"/>
      <x:c r="X17" s="91"/>
      <x:c r="Y17" s="91"/>
      <x:c r="Z17" s="35"/>
      <x:c r="AA17" s="17" t="str">
        <x:v>compute_atlas</x:v>
      </x:c>
      <x:c r="AB17" s="94" t="n">
        <x:v>1</x:v>
      </x:c>
      <x:c r="AC17" s="94" t="n">
        <x:v>1</x:v>
      </x:c>
      <x:c r="AD17" s="23" t="str">
        <x:v>compute_atlas:cleanspark-jellico-tn</x:v>
      </x:c>
      <x:c r="AE17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F17" s="18" t="str">
        <x:v>2026-08-05</x:v>
      </x:c>
      <x:c r="AG17" s="85" t="str">
        <x:v>confirmed</x:v>
      </x:c>
      <x:c r="AH17" s="85" t="str">
        <x:v>identified</x:v>
      </x:c>
      <x:c r="AI17" s="96" t="n">
        <x:v>2</x:v>
      </x:c>
      <x:c r="AJ17" s="86" t="b">
        <x:v>1</x:v>
      </x:c>
      <x:c r="AK17" s="96" t="n">
        <x:v>70</x:v>
      </x:c>
      <x:c r="AL17" s="85" t="str">
        <x:v>medium</x:v>
      </x:c>
      <x:c r="AM17" s="85" t="str">
        <x:v>Cross-verified facility record; unresolved values remain null rather than inferred.</x:v>
      </x:c>
      <x:c r="AN17" s="85" t="str">
        <x:v>1.1</x:v>
      </x:c>
      <x:c r="AO17" s="85" t="str">
        <x:v>2026-09-03</x:v>
      </x:c>
    </x:row>
    <x:row r="18" ht="30" hidden="0" customHeight="1">
      <x:c r="A18" s="16" t="str">
        <x:v>TNDC-017</x:v>
      </x:c>
      <x:c r="B18" s="23" t="str">
        <x:v>Bitdeer Knoxville AI Datacenter (5101 S. National Drive)</x:v>
      </x:c>
      <x:c r="C18" s="23" t="str">
        <x:v>Bitdeer</x:v>
      </x:c>
      <x:c r="D18" s="23" t="str">
        <x:v>Bitdeer</x:v>
      </x:c>
      <x:c r="E18" s="23" t="str">
        <x:v>5101 S National Dr</x:v>
      </x:c>
      <x:c r="F18" s="17" t="str">
        <x:v>Knoxville</x:v>
      </x:c>
      <x:c r="G18" s="26" t="str">
        <x:v>Knox</x:v>
      </x:c>
      <x:c r="H18" s="17" t="str">
        <x:v>TN</x:v>
      </x:c>
      <x:c r="I18" s="17" t="str">
        <x:v>37914</x:v>
      </x:c>
      <x:c r="J18" s="29" t="n">
        <x:v>35.941272</x:v>
      </x:c>
      <x:c r="K18" s="29" t="n">
        <x:v>-83.836066</x:v>
      </x:c>
      <x:c r="L18" s="17" t="str">
        <x:v>address_or_site</x:v>
      </x:c>
      <x:c r="M18" s="17" t="str">
        <x:v>high</x:v>
      </x:c>
      <x:c r="N18" s="23" t="str">
        <x:v>compute_atlas:bitdeer-knoxville-tn</x:v>
      </x:c>
      <x:c r="O18" s="88"/>
      <x:c r="P18" s="77" t="b">
        <x:v>0</x:v>
      </x:c>
      <x:c r="Q18" s="17" t="str">
        <x:v>operational</x:v>
      </x:c>
      <x:c r="R18" s="17" t="str">
        <x:v>operational | under_construction</x:v>
      </x:c>
      <x:c r="S18" s="77" t="b">
        <x:v>1</x:v>
      </x:c>
      <x:c r="T18" s="17" t="str">
        <x:v>data_center</x:v>
      </x:c>
      <x:c r="U18" s="17" t="str">
        <x:v>data_center</x:v>
      </x:c>
      <x:c r="V18" s="17" t="str">
        <x:v>core_data_center</x:v>
      </x:c>
      <x:c r="W18" s="91"/>
      <x:c r="X18" s="91"/>
      <x:c r="Y18" s="91" t="n">
        <x:v>9.88</x:v>
      </x:c>
      <x:c r="Z18" s="35"/>
      <x:c r="AA18" s="17" t="str">
        <x:v>compute_atlas | datacentermap</x:v>
      </x:c>
      <x:c r="AB18" s="94" t="n">
        <x:v>2</x:v>
      </x:c>
      <x:c r="AC18" s="94" t="n">
        <x:v>2</x:v>
      </x:c>
      <x:c r="AD18" s="23" t="str">
        <x:v>compute_atlas:bitdeer-knoxville-tn | datacentermap:bitdeer-tennessee</x:v>
      </x:c>
      <x:c r="AE18" s="17" t="str">
        <x:v>https://www.arcgis.com/home/item.html?id=597555ce8e4a4892a030784a7c657fdd | https://www.sec.gov/Archives/edgar/data/1899123/000121390026049770/ea0282628-20f_bitdeer.htm | https://www.datacentermap.com/usa/tennessee/knoxville/bitdeer-knoxville-tennessee/specs/ | https://commission.knoxcountytn.gov/forums/topic/data-center-moratorium/</x:v>
      </x:c>
      <x:c r="AF18" s="18" t="str">
        <x:v>2026-09-03</x:v>
      </x:c>
      <x:c r="AG18" s="85" t="str">
        <x:v>confirmed</x:v>
      </x:c>
      <x:c r="AH18" s="85" t="str">
        <x:v>identified</x:v>
      </x:c>
      <x:c r="AI18" s="96" t="n">
        <x:v>4</x:v>
      </x:c>
      <x:c r="AJ18" s="86" t="b">
        <x:v>1</x:v>
      </x:c>
      <x:c r="AK18" s="96" t="n">
        <x:v>90</x:v>
      </x:c>
      <x:c r="AL18" s="85" t="str">
        <x:v>high</x:v>
      </x:c>
      <x:c r="AM18" s="85" t="str">
        <x:v>Physical Bitdeer site independently reported operational since 2020; prior under_construction label likely refers to AI expansion. Operational is used in Master and status conflict is retained.</x:v>
      </x:c>
      <x:c r="AN18" s="85" t="str">
        <x:v>1.1</x:v>
      </x:c>
      <x:c r="AO18" s="85" t="str">
        <x:v>2026-09-03</x:v>
      </x:c>
    </x:row>
    <x:row r="19" ht="30" hidden="0" customHeight="1">
      <x:c r="A19" s="16" t="str">
        <x:v>TNDC-018</x:v>
      </x:c>
      <x:c r="B19" s="23" t="str">
        <x:v>Peace Communications KNX1</x:v>
      </x:c>
      <x:c r="C19" s="23" t="str">
        <x:v>Scipio Technologies</x:v>
      </x:c>
      <x:c r="D19" s="23" t="str">
        <x:v>Nexus Group | Peace Communications | Scipio Technologies</x:v>
      </x:c>
      <x:c r="E19" s="23" t="str">
        <x:v>500 W. Summit Hill</x:v>
      </x:c>
      <x:c r="F19" s="17" t="str">
        <x:v>Knoxville</x:v>
      </x:c>
      <x:c r="G19" s="26" t="str">
        <x:v>Knox</x:v>
      </x:c>
      <x:c r="H19" s="17" t="str">
        <x:v>TN</x:v>
      </x:c>
      <x:c r="I19" s="17" t="str">
        <x:v>37902</x:v>
      </x:c>
      <x:c r="J19" s="29" t="n">
        <x:v>35.965586</x:v>
      </x:c>
      <x:c r="K19" s="29" t="n">
        <x:v>-83.921438</x:v>
      </x:c>
      <x:c r="L19" s="17" t="str">
        <x:v>address_or_site</x:v>
      </x:c>
      <x:c r="M19" s="17" t="str">
        <x:v>high</x:v>
      </x:c>
      <x:c r="N19" s="23" t="str">
        <x:v>peeringdb:234</x:v>
      </x:c>
      <x:c r="O19" s="88"/>
      <x:c r="P19" s="77" t="b">
        <x:v>0</x:v>
      </x:c>
      <x:c r="Q19" s="17" t="str">
        <x:v>operational</x:v>
      </x:c>
      <x:c r="R19" s="17" t="str">
        <x:v>operational</x:v>
      </x:c>
      <x:c r="S19" s="77" t="b">
        <x:v>0</x:v>
      </x:c>
      <x:c r="T19" s="17" t="str">
        <x:v>interconnection_facility</x:v>
      </x:c>
      <x:c r="U19" s="17" t="str">
        <x:v>interconnection_facility</x:v>
      </x:c>
      <x:c r="V19" s="17" t="str">
        <x:v>core_data_center</x:v>
      </x:c>
      <x:c r="W19" s="91"/>
      <x:c r="X19" s="91"/>
      <x:c r="Y19" s="91"/>
      <x:c r="Z19" s="35"/>
      <x:c r="AA19" s="17" t="str">
        <x:v>peeringdb | scipio_official</x:v>
      </x:c>
      <x:c r="AB19" s="94" t="n">
        <x:v>2</x:v>
      </x:c>
      <x:c r="AC19" s="94" t="n">
        <x:v>2</x:v>
      </x:c>
      <x:c r="AD19" s="23" t="str">
        <x:v>peeringdb:234 | scipio:knoxville</x:v>
      </x:c>
      <x:c r="AE19" s="17" t="str">
        <x:v>http://www.peacecom.net | https://scipiotech.com/support/</x:v>
      </x:c>
      <x:c r="AF19" s="18" t="str">
        <x:v>2026-09-03</x:v>
      </x:c>
      <x:c r="AG19" s="85" t="str">
        <x:v>confirmed</x:v>
      </x:c>
      <x:c r="AH19" s="85" t="str">
        <x:v>identified</x:v>
      </x:c>
      <x:c r="AI19" s="96" t="n">
        <x:v>2</x:v>
      </x:c>
      <x:c r="AJ19" s="86" t="b">
        <x:v>1</x:v>
      </x:c>
      <x:c r="AK19" s="96" t="n">
        <x:v>91</x:v>
      </x:c>
      <x:c r="AL19" s="85" t="str">
        <x:v>high</x:v>
      </x:c>
      <x:c r="AM19" s="85" t="str">
        <x:v>Peace Communications rebranded as Scipio Technologies in 2024; current operator normalized while legacy names are preserved.</x:v>
      </x:c>
      <x:c r="AN19" s="85" t="str">
        <x:v>1.1</x:v>
      </x:c>
      <x:c r="AO19" s="85" t="str">
        <x:v>2026-09-03</x:v>
      </x:c>
    </x:row>
    <x:row r="20" ht="30" hidden="0" customHeight="1">
      <x:c r="A20" s="16" t="str">
        <x:v>TNDC-019</x:v>
      </x:c>
      <x:c r="B20" s="23" t="str">
        <x:v>CleanSpark Lenoir City Bitcoin Mining Facility</x:v>
      </x:c>
      <x:c r="C20" s="23" t="str">
        <x:v>CleanSpark, Inc.</x:v>
      </x:c>
      <x:c r="D20" s="23" t="str">
        <x:v>CleanSpark, Inc.</x:v>
      </x:c>
      <x:c r="E20" s="23"/>
      <x:c r="F20" s="17" t="str">
        <x:v>Lenoir City</x:v>
      </x:c>
      <x:c r="G20" s="26" t="str">
        <x:v>Loudon</x:v>
      </x:c>
      <x:c r="H20" s="17" t="str">
        <x:v>TN</x:v>
      </x:c>
      <x:c r="I20" s="17"/>
      <x:c r="J20" s="29" t="n">
        <x:v>35.7973</x:v>
      </x:c>
      <x:c r="K20" s="29" t="n">
        <x:v>-84.256</x:v>
      </x:c>
      <x:c r="L20" s="17" t="str">
        <x:v>approximate</x:v>
      </x:c>
      <x:c r="M20" s="17" t="str">
        <x:v>medium</x:v>
      </x:c>
      <x:c r="N20" s="23" t="str">
        <x:v>compute_atlas:cleanspark-lenoir-city-tn</x:v>
      </x:c>
      <x:c r="O20" s="88"/>
      <x:c r="P20" s="77" t="b">
        <x:v>0</x:v>
      </x:c>
      <x:c r="Q20" s="17" t="str">
        <x:v>operational</x:v>
      </x:c>
      <x:c r="R20" s="17" t="str">
        <x:v>operational</x:v>
      </x:c>
      <x:c r="S20" s="77" t="b">
        <x:v>0</x:v>
      </x:c>
      <x:c r="T20" s="17" t="str">
        <x:v>crypto_mining</x:v>
      </x:c>
      <x:c r="U20" s="17" t="str">
        <x:v>crypto_mining</x:v>
      </x:c>
      <x:c r="V20" s="17" t="str">
        <x:v>crypto_mining</x:v>
      </x:c>
      <x:c r="W20" s="91"/>
      <x:c r="X20" s="91"/>
      <x:c r="Y20" s="91"/>
      <x:c r="Z20" s="35"/>
      <x:c r="AA20" s="17" t="str">
        <x:v>compute_atlas</x:v>
      </x:c>
      <x:c r="AB20" s="94" t="n">
        <x:v>1</x:v>
      </x:c>
      <x:c r="AC20" s="94" t="n">
        <x:v>1</x:v>
      </x:c>
      <x:c r="AD20" s="23" t="str">
        <x:v>compute_atlas:cleanspark-lenoir-city-tn</x:v>
      </x:c>
      <x:c r="AE20" s="17" t="str">
        <x:v>https://www.globenewswire.com/news-release/2024/02/14/2828934/0/en/GRIID-Infrastructure-Announces-Plans-to-Double-Capacity-of-Lenoir-City-Tenn-Bitcoin-Mining-Operations.html | https://www.prnewswire.com/news-releases/cleanspark-announces-agreement-to-acquire-griid-infrastructure-based-on-an-enterprise-value-of-155-million-and-expansion-plans-of-over-400-mw-in-tennessee-302184116.html | https://www.sec.gov/Archives/edgar/data/827876/000119312525297510/clsk-20250930.htm</x:v>
      </x:c>
      <x:c r="AF20" s="18" t="str">
        <x:v>2026-08-05</x:v>
      </x:c>
      <x:c r="AG20" s="85" t="str">
        <x:v>confirmed</x:v>
      </x:c>
      <x:c r="AH20" s="85" t="str">
        <x:v>identified</x:v>
      </x:c>
      <x:c r="AI20" s="96" t="n">
        <x:v>3</x:v>
      </x:c>
      <x:c r="AJ20" s="86" t="b">
        <x:v>1</x:v>
      </x:c>
      <x:c r="AK20" s="96" t="n">
        <x:v>77</x:v>
      </x:c>
      <x:c r="AL20" s="85" t="str">
        <x:v>high</x:v>
      </x:c>
      <x:c r="AM20" s="85" t="str">
        <x:v>Cross-verified facility record; unresolved values remain null rather than inferred.</x:v>
      </x:c>
      <x:c r="AN20" s="85" t="str">
        <x:v>1.1</x:v>
      </x:c>
      <x:c r="AO20" s="85" t="str">
        <x:v>2026-09-03</x:v>
      </x:c>
    </x:row>
    <x:row r="21" ht="30" hidden="0" customHeight="1">
      <x:c r="A21" s="16" t="str">
        <x:v>TNDC-020</x:v>
      </x:c>
      <x:c r="B21" s="23" t="str">
        <x:v>CleanSpark Limestone Bitcoin Mining Facility (closed 2026)</x:v>
      </x:c>
      <x:c r="C21" s="23" t="str">
        <x:v>CleanSpark, Inc.</x:v>
      </x:c>
      <x:c r="D21" s="23" t="str">
        <x:v>CleanSpark, Inc.</x:v>
      </x:c>
      <x:c r="E21" s="23"/>
      <x:c r="F21" s="17" t="str">
        <x:v>Limestone</x:v>
      </x:c>
      <x:c r="G21" s="26" t="str">
        <x:v>Washington</x:v>
      </x:c>
      <x:c r="H21" s="17" t="str">
        <x:v>TN</x:v>
      </x:c>
      <x:c r="I21" s="17"/>
      <x:c r="J21" s="29" t="n">
        <x:v>36.2235</x:v>
      </x:c>
      <x:c r="K21" s="29" t="n">
        <x:v>-82.625</x:v>
      </x:c>
      <x:c r="L21" s="17" t="str">
        <x:v>approximate</x:v>
      </x:c>
      <x:c r="M21" s="17" t="str">
        <x:v>medium</x:v>
      </x:c>
      <x:c r="N21" s="23" t="str">
        <x:v>compute_atlas:cleanspark-limestone-tn</x:v>
      </x:c>
      <x:c r="O21" s="88"/>
      <x:c r="P21" s="77" t="b">
        <x:v>0</x:v>
      </x:c>
      <x:c r="Q21" s="17" t="str">
        <x:v>cancelled</x:v>
      </x:c>
      <x:c r="R21" s="17" t="str">
        <x:v>cancelled</x:v>
      </x:c>
      <x:c r="S21" s="77" t="b">
        <x:v>0</x:v>
      </x:c>
      <x:c r="T21" s="17" t="str">
        <x:v>crypto_mining</x:v>
      </x:c>
      <x:c r="U21" s="17" t="str">
        <x:v>crypto_mining</x:v>
      </x:c>
      <x:c r="V21" s="17" t="str">
        <x:v>crypto_mining</x:v>
      </x:c>
      <x:c r="W21" s="91"/>
      <x:c r="X21" s="91"/>
      <x:c r="Y21" s="91"/>
      <x:c r="Z21" s="35"/>
      <x:c r="AA21" s="17" t="str">
        <x:v>compute_atlas</x:v>
      </x:c>
      <x:c r="AB21" s="94" t="n">
        <x:v>1</x:v>
      </x:c>
      <x:c r="AC21" s="94" t="n">
        <x:v>1</x:v>
      </x:c>
      <x:c r="AD21" s="23" t="str">
        <x:v>compute_atlas:cleanspark-limestone-tn</x:v>
      </x:c>
      <x:c r="AE21" s="17" t="str">
        <x:v>https://www.prnewswire.com/news-releases/cleanspark-announces-agreement-to-acquire-griid-infrastructure-based-on-an-enterprise-value-of-155-million-and-expansion-plans-of-over-400-mw-in-tennessee-302184116.html | https://www.wjhl.com/news/local/bitcoin-mine-would-close-move-in-proposed-lawsuit-settlement/ | https://www.yahoo.com/news/articles/noisy-bitcoin-mine-shuts-down-212411956.html</x:v>
      </x:c>
      <x:c r="AF21" s="18" t="str">
        <x:v>2026-08-05</x:v>
      </x:c>
      <x:c r="AG21" s="85" t="str">
        <x:v>confirmed</x:v>
      </x:c>
      <x:c r="AH21" s="85" t="str">
        <x:v>identified</x:v>
      </x:c>
      <x:c r="AI21" s="96" t="n">
        <x:v>3</x:v>
      </x:c>
      <x:c r="AJ21" s="86" t="b">
        <x:v>1</x:v>
      </x:c>
      <x:c r="AK21" s="96" t="n">
        <x:v>77</x:v>
      </x:c>
      <x:c r="AL21" s="85" t="str">
        <x:v>high</x:v>
      </x:c>
      <x:c r="AM21" s="85" t="str">
        <x:v>Cross-verified facility record; unresolved values remain null rather than inferred.</x:v>
      </x:c>
      <x:c r="AN21" s="85" t="str">
        <x:v>1.1</x:v>
      </x:c>
      <x:c r="AO21" s="85" t="str">
        <x:v>2026-09-03</x:v>
      </x:c>
    </x:row>
    <x:row r="22" ht="30" hidden="0" customHeight="1">
      <x:c r="A22" s="16" t="str">
        <x:v>TNDC-021</x:v>
      </x:c>
      <x:c r="B22" s="23" t="str">
        <x:v>Arnold Air Force Base Data Center</x:v>
      </x:c>
      <x:c r="C22" s="23"/>
      <x:c r="D22" s="23"/>
      <x:c r="E22" s="23"/>
      <x:c r="F22" s="17" t="str">
        <x:v>Manchester</x:v>
      </x:c>
      <x:c r="G22" s="26" t="str">
        <x:v>Coffee</x:v>
      </x:c>
      <x:c r="H22" s="17" t="str">
        <x:v>TN</x:v>
      </x:c>
      <x:c r="I22" s="17" t="str">
        <x:v>37355</x:v>
      </x:c>
      <x:c r="J22" s="29" t="n">
        <x:v>35.37539</x:v>
      </x:c>
      <x:c r="K22" s="29" t="n">
        <x:v>-86.07293</x:v>
      </x:c>
      <x:c r="L22" s="17" t="str">
        <x:v>approximate_site</x:v>
      </x:c>
      <x:c r="M22" s="17" t="str">
        <x:v>medium</x:v>
      </x:c>
      <x:c r="N22" s="23" t="str">
        <x:v>fractracker:497</x:v>
      </x:c>
      <x:c r="O22" s="88"/>
      <x:c r="P22" s="77" t="b">
        <x:v>0</x:v>
      </x:c>
      <x:c r="Q22" s="17" t="str">
        <x:v>cancelled</x:v>
      </x:c>
      <x:c r="R22" s="17" t="str">
        <x:v>proposed | no_proposal</x:v>
      </x:c>
      <x:c r="S22" s="77" t="b">
        <x:v>1</x:v>
      </x:c>
      <x:c r="T22" s="17" t="str">
        <x:v>data_center</x:v>
      </x:c>
      <x:c r="U22" s="17" t="str">
        <x:v>data_center</x:v>
      </x:c>
      <x:c r="V22" s="17" t="str">
        <x:v>core_data_center</x:v>
      </x:c>
      <x:c r="W22" s="91"/>
      <x:c r="X22" s="91"/>
      <x:c r="Y22" s="91" t="n">
        <x:v>274</x:v>
      </x:c>
      <x:c r="Z22" s="35"/>
      <x:c r="AA22" s="17" t="str">
        <x:v>fractracker | usaf_official</x:v>
      </x:c>
      <x:c r="AB22" s="94" t="n">
        <x:v>2</x:v>
      </x:c>
      <x:c r="AC22" s="94" t="n">
        <x:v>2</x:v>
      </x:c>
      <x:c r="AD22" s="23" t="str">
        <x:v>fractracker:497 | usaf:arnold-no-proposal-20260601</x:v>
      </x:c>
      <x:c r="AE22" s="17" t="str">
        <x:v>https://www.datacenterdynamics.com/en/news/us-department-of-the-air-force-accepting-proposals-for-ai-data-centers-in-military-bases/ | https://www.arnold.af.mil/News/Article-Display/Article/4505271/notification-of-ai-data-center-no-proposal/ | https://www.arnold.af.mil/About-Us/Fact-Sheets/Display/Article/4351003/artificial-intelligence-data-center-frequently-asked-questions/</x:v>
      </x:c>
      <x:c r="AF22" s="18" t="str">
        <x:v>2026-09-03</x:v>
      </x:c>
      <x:c r="AG22" s="85" t="str">
        <x:v>confirmed</x:v>
      </x:c>
      <x:c r="AH22" s="85" t="str">
        <x:v>no_operator_no_proposal</x:v>
      </x:c>
      <x:c r="AI22" s="96" t="n">
        <x:v>2</x:v>
      </x:c>
      <x:c r="AJ22" s="86" t="b">
        <x:v>1</x:v>
      </x:c>
      <x:c r="AK22" s="96" t="n">
        <x:v>73</x:v>
      </x:c>
      <x:c r="AL22" s="85" t="str">
        <x:v>medium</x:v>
      </x:c>
      <x:c r="AM22" s="85" t="str">
        <x:v>Official Arnold AFB notice (2026-06-01) states no potential offerors submitted proposals. Lifecycle normalized to cancelled/no-proposal; no operator fabricated.</x:v>
      </x:c>
      <x:c r="AN22" s="85" t="str">
        <x:v>1.1</x:v>
      </x:c>
      <x:c r="AO22" s="85" t="str">
        <x:v>2026-09-03</x:v>
      </x:c>
    </x:row>
    <x:row r="23" ht="30" hidden="0" customHeight="1">
      <x:c r="A23" s="16" t="str">
        <x:v>TNDC-022</x:v>
      </x:c>
      <x:c r="B23" s="23" t="str">
        <x:v>CleanSpark Maynardville Bitcoin Mining Facility</x:v>
      </x:c>
      <x:c r="C23" s="23" t="str">
        <x:v>CleanSpark, Inc.</x:v>
      </x:c>
      <x:c r="D23" s="23" t="str">
        <x:v>CleanSpark, Inc.</x:v>
      </x:c>
      <x:c r="E23" s="23"/>
      <x:c r="F23" s="17" t="str">
        <x:v>Maynardville</x:v>
      </x:c>
      <x:c r="G23" s="26" t="str">
        <x:v>Union</x:v>
      </x:c>
      <x:c r="H23" s="17" t="str">
        <x:v>TN</x:v>
      </x:c>
      <x:c r="I23" s="17"/>
      <x:c r="J23" s="29" t="n">
        <x:v>36.2506</x:v>
      </x:c>
      <x:c r="K23" s="29" t="n">
        <x:v>-83.7974</x:v>
      </x:c>
      <x:c r="L23" s="17" t="str">
        <x:v>approximate</x:v>
      </x:c>
      <x:c r="M23" s="17" t="str">
        <x:v>medium</x:v>
      </x:c>
      <x:c r="N23" s="23" t="str">
        <x:v>compute_atlas:cleanspark-maynardville-tn</x:v>
      </x:c>
      <x:c r="O23" s="88"/>
      <x:c r="P23" s="77" t="b">
        <x:v>0</x:v>
      </x:c>
      <x:c r="Q23" s="17" t="str">
        <x:v>operational</x:v>
      </x:c>
      <x:c r="R23" s="17" t="str">
        <x:v>operational</x:v>
      </x:c>
      <x:c r="S23" s="77" t="b">
        <x:v>0</x:v>
      </x:c>
      <x:c r="T23" s="17" t="str">
        <x:v>crypto_mining</x:v>
      </x:c>
      <x:c r="U23" s="17" t="str">
        <x:v>crypto_mining</x:v>
      </x:c>
      <x:c r="V23" s="17" t="str">
        <x:v>crypto_mining</x:v>
      </x:c>
      <x:c r="W23" s="91"/>
      <x:c r="X23" s="91"/>
      <x:c r="Y23" s="91"/>
      <x:c r="Z23" s="35"/>
      <x:c r="AA23" s="17" t="str">
        <x:v>compute_atlas</x:v>
      </x:c>
      <x:c r="AB23" s="94" t="n">
        <x:v>1</x:v>
      </x:c>
      <x:c r="AC23" s="94" t="n">
        <x:v>1</x:v>
      </x:c>
      <x:c r="AD23" s="23" t="str">
        <x:v>compute_atlas:cleanspark-maynardville-tn</x:v>
      </x:c>
      <x:c r="AE23" s="17" t="str">
        <x:v>https://www.prnewswire.com/news-releases/cleanspark-announces-agreement-to-acquire-griid-infrastructure-based-on-an-enterprise-value-of-155-million-and-expansion-plans-of-over-400-mw-in-tennessee-302184116.html | https://www.sec.gov/Archives/edgar/data/827876/000119312525297510/clsk-20250930.htm</x:v>
      </x:c>
      <x:c r="AF23" s="18" t="str">
        <x:v>2026-08-05</x:v>
      </x:c>
      <x:c r="AG23" s="85" t="str">
        <x:v>confirmed</x:v>
      </x:c>
      <x:c r="AH23" s="85" t="str">
        <x:v>identified</x:v>
      </x:c>
      <x:c r="AI23" s="96" t="n">
        <x:v>2</x:v>
      </x:c>
      <x:c r="AJ23" s="86" t="b">
        <x:v>1</x:v>
      </x:c>
      <x:c r="AK23" s="96" t="n">
        <x:v>70</x:v>
      </x:c>
      <x:c r="AL23" s="85" t="str">
        <x:v>medium</x:v>
      </x:c>
      <x:c r="AM23" s="85" t="str">
        <x:v>Cross-verified facility record; unresolved values remain null rather than inferred.</x:v>
      </x:c>
      <x:c r="AN23" s="85" t="str">
        <x:v>1.1</x:v>
      </x:c>
      <x:c r="AO23" s="85" t="str">
        <x:v>2026-09-03</x:v>
      </x:c>
    </x:row>
    <x:row r="24" ht="30" hidden="0" customHeight="1">
      <x:c r="A24" s="16" t="str">
        <x:v>TNDC-023</x:v>
      </x:c>
      <x:c r="B24" s="23" t="str">
        <x:v>Hixson Data Center (McMinnville)</x:v>
      </x:c>
      <x:c r="C24" s="23" t="str">
        <x:v>Hixson Data Center</x:v>
      </x:c>
      <x:c r="D24" s="23" t="str">
        <x:v>Hixson Data Center</x:v>
      </x:c>
      <x:c r="E24" s="23" t="str">
        <x:v>possibly Bybee Branch Rd</x:v>
      </x:c>
      <x:c r="F24" s="17" t="str">
        <x:v>McMinnville</x:v>
      </x:c>
      <x:c r="G24" s="26" t="str">
        <x:v>Warren</x:v>
      </x:c>
      <x:c r="H24" s="17" t="str">
        <x:v>TN</x:v>
      </x:c>
      <x:c r="I24" s="17" t="str">
        <x:v>37110</x:v>
      </x:c>
      <x:c r="J24" s="29" t="n">
        <x:v>35.718937</x:v>
      </x:c>
      <x:c r="K24" s="29" t="n">
        <x:v>-85.83887</x:v>
      </x:c>
      <x:c r="L24" s="17" t="str">
        <x:v>area_or_city</x:v>
      </x:c>
      <x:c r="M24" s="17" t="str">
        <x:v>low</x:v>
      </x:c>
      <x:c r="N24" s="23" t="str">
        <x:v>fractracker:1780024884691-1880</x:v>
      </x:c>
      <x:c r="O24" s="88" t="n">
        <x:v>7.3696</x:v>
      </x:c>
      <x:c r="P24" s="77" t="b">
        <x:v>1</x:v>
      </x:c>
      <x:c r="Q24" s="17" t="str">
        <x:v>proposed</x:v>
      </x:c>
      <x:c r="R24" s="17" t="str">
        <x:v>proposed</x:v>
      </x:c>
      <x:c r="S24" s="77" t="b">
        <x:v>0</x:v>
      </x:c>
      <x:c r="T24" s="17" t="str">
        <x:v>data_center</x:v>
      </x:c>
      <x:c r="U24" s="17" t="str">
        <x:v>data_center</x:v>
      </x:c>
      <x:c r="V24" s="17" t="str">
        <x:v>core_data_center</x:v>
      </x:c>
      <x:c r="W24" s="91" t="n">
        <x:v>25</x:v>
      </x:c>
      <x:c r="X24" s="91" t="n">
        <x:v>96065</x:v>
      </x:c>
      <x:c r="Y24" s="91"/>
      <x:c r="Z24" s="35"/>
      <x:c r="AA24" s="17" t="str">
        <x:v>compute_atlas | fractracker</x:v>
      </x:c>
      <x:c r="AB24" s="94" t="n">
        <x:v>2</x:v>
      </x:c>
      <x:c r="AC24" s="94" t="n">
        <x:v>2</x:v>
      </x:c>
      <x:c r="AD24" s="23" t="str">
        <x:v>compute_atlas:hixson-data-center-mcminnville-tn | fractracker:1780024884691-1880</x:v>
      </x:c>
      <x:c r="AE24" s="17" t="str">
        <x:v>https://baxtel.com/news/25mw-ai-data-center-planned-for-mcminnville | https://www.wsmv.com/2026/06/01/amid-plans-new-high-density-ai-data-center-campus-middle-tennessee-city-locals-push-moratorium-such-facilities/ | https://hixsondc.com/ | https://warrencountyecd.com/site/mcminnville-warren-digital-site/ | https://www.datacenterdynamics.com/en/news/25mw-ai-data-center-to-be-built-in-mcminnville-tennessee/</x:v>
      </x:c>
      <x:c r="AF24" s="18" t="str">
        <x:v>2026-08-15</x:v>
      </x:c>
      <x:c r="AG24" s="85" t="str">
        <x:v>confirmed</x:v>
      </x:c>
      <x:c r="AH24" s="85" t="str">
        <x:v>identified</x:v>
      </x:c>
      <x:c r="AI24" s="96" t="n">
        <x:v>5</x:v>
      </x:c>
      <x:c r="AJ24" s="86" t="b">
        <x:v>1</x:v>
      </x:c>
      <x:c r="AK24" s="96" t="n">
        <x:v>62</x:v>
      </x:c>
      <x:c r="AL24" s="85" t="str">
        <x:v>medium</x:v>
      </x:c>
      <x:c r="AM24" s="85" t="str">
        <x:v>Coordinate disagreement exceeds 7 km. area_or_city precision is intentionally retained; do not use as parcel-level point until resolved.</x:v>
      </x:c>
      <x:c r="AN24" s="85" t="str">
        <x:v>1.1</x:v>
      </x:c>
      <x:c r="AO24" s="85" t="str">
        <x:v>2026-09-03</x:v>
      </x:c>
    </x:row>
    <x:row r="25" ht="30" hidden="0" customHeight="1">
      <x:c r="A25" s="16" t="str">
        <x:v>TNDC-024</x:v>
      </x:c>
      <x:c r="B25" s="23" t="str">
        <x:v>Litewire McMinnville (former A.O. Smith Building)</x:v>
      </x:c>
      <x:c r="C25" s="23" t="str">
        <x:v>Litewire</x:v>
      </x:c>
      <x:c r="D25" s="23" t="str">
        <x:v>Litewire</x:v>
      </x:c>
      <x:c r="E25" s="23" t="str">
        <x:v>204 Red Rd, Ste 200</x:v>
      </x:c>
      <x:c r="F25" s="17" t="str">
        <x:v>McMinnville</x:v>
      </x:c>
      <x:c r="G25" s="26" t="str">
        <x:v>Warren</x:v>
      </x:c>
      <x:c r="H25" s="17" t="str">
        <x:v>TN</x:v>
      </x:c>
      <x:c r="I25" s="17" t="str">
        <x:v>37110</x:v>
      </x:c>
      <x:c r="J25" s="29" t="n">
        <x:v>35.69221</x:v>
      </x:c>
      <x:c r="K25" s="29" t="n">
        <x:v>-85.7619</x:v>
      </x:c>
      <x:c r="L25" s="17" t="str">
        <x:v>exact</x:v>
      </x:c>
      <x:c r="M25" s="17" t="str">
        <x:v>high</x:v>
      </x:c>
      <x:c r="N25" s="23" t="str">
        <x:v>compute_atlas:litewire-mcminnville-tn</x:v>
      </x:c>
      <x:c r="O25" s="88"/>
      <x:c r="P25" s="77" t="b">
        <x:v>0</x:v>
      </x:c>
      <x:c r="Q25" s="17" t="str">
        <x:v>operational</x:v>
      </x:c>
      <x:c r="R25" s="17" t="str">
        <x:v>operational</x:v>
      </x:c>
      <x:c r="S25" s="77" t="b">
        <x:v>0</x:v>
      </x:c>
      <x:c r="T25" s="17" t="str">
        <x:v>data_center</x:v>
      </x:c>
      <x:c r="U25" s="17" t="str">
        <x:v>data_center</x:v>
      </x:c>
      <x:c r="V25" s="17" t="str">
        <x:v>core_data_center</x:v>
      </x:c>
      <x:c r="W25" s="91"/>
      <x:c r="X25" s="91"/>
      <x:c r="Y25" s="91"/>
      <x:c r="Z25" s="35"/>
      <x:c r="AA25" s="17" t="str">
        <x:v>compute_atlas | tn_ecd</x:v>
      </x:c>
      <x:c r="AB25" s="94" t="n">
        <x:v>2</x:v>
      </x:c>
      <x:c r="AC25" s="94" t="n">
        <x:v>2</x:v>
      </x:c>
      <x:c r="AD25" s="23" t="str">
        <x:v>compute_atlas:litewire-mcminnville-tn | tnecd:litewire-20150715</x:v>
      </x:c>
      <x:c r="AE25" s="17" t="str">
        <x:v>https://tnecd.com/news/litewire-llc-to-open-new-facility-in-warren-county/ | https://www.newschannel5.com/news/how-big-are-middle-tennessees-data-centers-a-look-at-facilities-already-operating | https://www.tn.gov/ecd/news/2015/7/15/litewire-llc-to-open-new-facility-in-warren-county.html</x:v>
      </x:c>
      <x:c r="AF25" s="18" t="str">
        <x:v>2026-09-03</x:v>
      </x:c>
      <x:c r="AG25" s="85" t="str">
        <x:v>confirmed</x:v>
      </x:c>
      <x:c r="AH25" s="85" t="str">
        <x:v>identified</x:v>
      </x:c>
      <x:c r="AI25" s="96" t="n">
        <x:v>3</x:v>
      </x:c>
      <x:c r="AJ25" s="86" t="b">
        <x:v>1</x:v>
      </x:c>
      <x:c r="AK25" s="96" t="n">
        <x:v>100</x:v>
      </x:c>
      <x:c r="AL25" s="85" t="str">
        <x:v>high</x:v>
      </x:c>
      <x:c r="AM25" s="85" t="str">
        <x:v>Cross-verified facility record; unresolved values remain null rather than inferred.</x:v>
      </x:c>
      <x:c r="AN25" s="85" t="str">
        <x:v>1.1</x:v>
      </x:c>
      <x:c r="AO25" s="85" t="str">
        <x:v>2026-09-03</x:v>
      </x:c>
    </x:row>
    <x:row r="26" ht="30" hidden="0" customHeight="1">
      <x:c r="A26" s="16" t="str">
        <x:v>TNDC-025</x:v>
      </x:c>
      <x:c r="B26" s="23" t="str">
        <x:v>Colossus</x:v>
      </x:c>
      <x:c r="C26" s="23" t="str">
        <x:v>xAI</x:v>
      </x:c>
      <x:c r="D26" s="23" t="str">
        <x:v>xAI</x:v>
      </x:c>
      <x:c r="E26" s="23"/>
      <x:c r="F26" s="17" t="str">
        <x:v>Memphis</x:v>
      </x:c>
      <x:c r="G26" s="26" t="str">
        <x:v>Shelby</x:v>
      </x:c>
      <x:c r="H26" s="17" t="str">
        <x:v>TN</x:v>
      </x:c>
      <x:c r="I26" s="17"/>
      <x:c r="J26" s="29" t="n">
        <x:v>35.0565</x:v>
      </x:c>
      <x:c r="K26" s="29" t="n">
        <x:v>-90.0148</x:v>
      </x:c>
      <x:c r="L26" s="17" t="str">
        <x:v>exact</x:v>
      </x:c>
      <x:c r="M26" s="17" t="str">
        <x:v>medium</x:v>
      </x:c>
      <x:c r="N26" s="23" t="str">
        <x:v>compute_atlas:xai-colossus-memphis-tn</x:v>
      </x:c>
      <x:c r="O26" s="88"/>
      <x:c r="P26" s="77" t="b">
        <x:v>0</x:v>
      </x:c>
      <x:c r="Q26" s="17" t="str">
        <x:v>operational</x:v>
      </x:c>
      <x:c r="R26" s="17" t="str">
        <x:v>operational</x:v>
      </x:c>
      <x:c r="S26" s="77" t="b">
        <x:v>0</x:v>
      </x:c>
      <x:c r="T26" s="17" t="str">
        <x:v>data_center</x:v>
      </x:c>
      <x:c r="U26" s="17" t="str">
        <x:v>data_center</x:v>
      </x:c>
      <x:c r="V26" s="17" t="str">
        <x:v>core_data_center</x:v>
      </x:c>
      <x:c r="W26" s="91"/>
      <x:c r="X26" s="91"/>
      <x:c r="Y26" s="91"/>
      <x:c r="Z26" s="35"/>
      <x:c r="AA26" s="17" t="str">
        <x:v>compute_atlas | reuters</x:v>
      </x:c>
      <x:c r="AB26" s="94" t="n">
        <x:v>2</x:v>
      </x:c>
      <x:c r="AC26" s="94" t="n">
        <x:v>2</x:v>
      </x:c>
      <x:c r="AD26" s="23" t="str">
        <x:v>compute_atlas:xai-colossus-memphis-tn | reuters:xai-colossus-20240924</x:v>
      </x:c>
      <x:c r="AE26" s="17" t="str">
        <x:v>https://en.wikipedia.org/wiki/Colossus_(supercomputer) | https://www.cnbc.com/2025/07/16/musks-xai-permits-challenged-by-naacp-environmental-groups-memphis.html | https://www.datacenterdynamics.com/en/news/xai-doubles-number-of-onsite-gas-turbines-at-memphis-data-center-in-violation-of-permit-limits/ | https://www.governing.com/resilience/wastewater-will-cool-this-memphis-data-center | https://www.reuters.com/technology/artificial-intelligence/musk-says-xai-has-built-worlds-most-powerful-ai-training-cluster-2024-09-24/</x:v>
      </x:c>
      <x:c r="AF26" s="18" t="str">
        <x:v>2026-09-03</x:v>
      </x:c>
      <x:c r="AG26" s="85" t="str">
        <x:v>review</x:v>
      </x:c>
      <x:c r="AH26" s="85" t="str">
        <x:v>identified_entity_overlap_review</x:v>
      </x:c>
      <x:c r="AI26" s="96" t="n">
        <x:v>5</x:v>
      </x:c>
      <x:c r="AJ26" s="86" t="b">
        <x:v>1</x:v>
      </x:c>
      <x:c r="AK26" s="96" t="n">
        <x:v>80</x:v>
      </x:c>
      <x:c r="AL26" s="85" t="str">
        <x:v>medium</x:v>
      </x:c>
      <x:c r="AM26" s="85" t="str">
        <x:v>Generic Colossus entity may overlap TNDC-030/TNDC-031. Retained for audit with review classification; do not double-count in facility-level inference.</x:v>
      </x:c>
      <x:c r="AN26" s="85" t="str">
        <x:v>1.1</x:v>
      </x:c>
      <x:c r="AO26" s="85" t="str">
        <x:v>2026-09-03</x:v>
      </x:c>
    </x:row>
    <x:row r="27" ht="30" hidden="0" customHeight="1">
      <x:c r="A27" s="16" t="str">
        <x:v>TNDC-026</x:v>
      </x:c>
      <x:c r="B27" s="23" t="str">
        <x:v>DataBank Memphis (MEM1)</x:v>
      </x:c>
      <x:c r="C27" s="23" t="str">
        <x:v>DataBank</x:v>
      </x:c>
      <x:c r="D27" s="23" t="str">
        <x:v>DataBank | DataBank, Ltd.</x:v>
      </x:c>
      <x:c r="E27" s="23" t="str">
        <x:v>7620 Appling Center Dr</x:v>
      </x:c>
      <x:c r="F27" s="17" t="str">
        <x:v>Memphis</x:v>
      </x:c>
      <x:c r="G27" s="26" t="str">
        <x:v>Shelby</x:v>
      </x:c>
      <x:c r="H27" s="17" t="str">
        <x:v>TN</x:v>
      </x:c>
      <x:c r="I27" s="17" t="str">
        <x:v>38133</x:v>
      </x:c>
      <x:c r="J27" s="29" t="n">
        <x:v>35.203086</x:v>
      </x:c>
      <x:c r="K27" s="29" t="n">
        <x:v>-89.808615</x:v>
      </x:c>
      <x:c r="L27" s="17" t="str">
        <x:v>address_or_site</x:v>
      </x:c>
      <x:c r="M27" s="17" t="str">
        <x:v>high</x:v>
      </x:c>
      <x:c r="N27" s="23" t="str">
        <x:v>peeringdb:2958</x:v>
      </x:c>
      <x:c r="O27" s="88" t="n">
        <x:v>0.1188</x:v>
      </x:c>
      <x:c r="P27" s="77" t="b">
        <x:v>0</x:v>
      </x:c>
      <x:c r="Q27" s="17" t="str">
        <x:v>operational</x:v>
      </x:c>
      <x:c r="R27" s="17" t="str">
        <x:v>operational</x:v>
      </x:c>
      <x:c r="S27" s="77" t="b">
        <x:v>0</x:v>
      </x:c>
      <x:c r="T27" s="17" t="str">
        <x:v>data_center</x:v>
      </x:c>
      <x:c r="U27" s="17" t="str">
        <x:v>data_center | interconnection_facility</x:v>
      </x:c>
      <x:c r="V27" s="17" t="str">
        <x:v>core_data_center</x:v>
      </x:c>
      <x:c r="W27" s="91"/>
      <x:c r="X27" s="91"/>
      <x:c r="Y27" s="91"/>
      <x:c r="Z27" s="35"/>
      <x:c r="AA27" s="17" t="str">
        <x:v>compute_atlas | peeringdb</x:v>
      </x:c>
      <x:c r="AB27" s="94" t="n">
        <x:v>2</x:v>
      </x:c>
      <x:c r="AC27" s="94" t="n">
        <x:v>2</x:v>
      </x:c>
      <x:c r="AD27" s="23" t="str">
        <x:v>compute_atlas:databank-mem1-memphis-tn | peeringdb:2958</x:v>
      </x:c>
      <x:c r="AE27" s="17" t="str">
        <x:v>https://baxtel.com/data-center/memphis | https://www.databank.com/data-centers/memphis/7620-appling-center-drive/ | https://www.databank.com/data-centers/memphis/mem1/</x:v>
      </x:c>
      <x:c r="AF27" s="18" t="str">
        <x:v>2026-08-15</x:v>
      </x:c>
      <x:c r="AG27" s="85" t="str">
        <x:v>confirmed</x:v>
      </x:c>
      <x:c r="AH27" s="85" t="str">
        <x:v>identified</x:v>
      </x:c>
      <x:c r="AI27" s="96" t="n">
        <x:v>2</x:v>
      </x:c>
      <x:c r="AJ27" s="86" t="b">
        <x:v>1</x:v>
      </x:c>
      <x:c r="AK27" s="96" t="n">
        <x:v>91</x:v>
      </x:c>
      <x:c r="AL27" s="85" t="str">
        <x:v>high</x:v>
      </x:c>
      <x:c r="AM27" s="85" t="str">
        <x:v>Cross-verified facility record; unresolved values remain null rather than inferred.</x:v>
      </x:c>
      <x:c r="AN27" s="85" t="str">
        <x:v>1.1</x:v>
      </x:c>
      <x:c r="AO27" s="85" t="str">
        <x:v>2026-09-03</x:v>
      </x:c>
    </x:row>
    <x:row r="28" ht="30" hidden="0" customHeight="1">
      <x:c r="A28" s="16" t="str">
        <x:v>TNDC-027</x:v>
      </x:c>
      <x:c r="B28" s="23" t="str">
        <x:v>EdgeConneX Memphis (EDCMEM01)</x:v>
      </x:c>
      <x:c r="C28" s="23" t="str">
        <x:v>EdgeConneX Inc.</x:v>
      </x:c>
      <x:c r="D28" s="23" t="str">
        <x:v>EdgeConneX Inc.</x:v>
      </x:c>
      <x:c r="E28" s="23" t="str">
        <x:v>4005 S Mendenhall Rd</x:v>
      </x:c>
      <x:c r="F28" s="17" t="str">
        <x:v>Memphis</x:v>
      </x:c>
      <x:c r="G28" s="26" t="str">
        <x:v>Shelby</x:v>
      </x:c>
      <x:c r="H28" s="17" t="str">
        <x:v>TN</x:v>
      </x:c>
      <x:c r="I28" s="17" t="str">
        <x:v>38115</x:v>
      </x:c>
      <x:c r="J28" s="29" t="n">
        <x:v>35.038995</x:v>
      </x:c>
      <x:c r="K28" s="29" t="n">
        <x:v>-89.88623</x:v>
      </x:c>
      <x:c r="L28" s="17" t="str">
        <x:v>address_or_site</x:v>
      </x:c>
      <x:c r="M28" s="17" t="str">
        <x:v>high</x:v>
      </x:c>
      <x:c r="N28" s="23" t="str">
        <x:v>peeringdb:1930</x:v>
      </x:c>
      <x:c r="O28" s="88"/>
      <x:c r="P28" s="77" t="b">
        <x:v>0</x:v>
      </x:c>
      <x:c r="Q28" s="17" t="str">
        <x:v>operational</x:v>
      </x:c>
      <x:c r="R28" s="17" t="str">
        <x:v>operational</x:v>
      </x:c>
      <x:c r="S28" s="77" t="b">
        <x:v>0</x:v>
      </x:c>
      <x:c r="T28" s="17" t="str">
        <x:v>interconnection_facility</x:v>
      </x:c>
      <x:c r="U28" s="17" t="str">
        <x:v>interconnection_facility</x:v>
      </x:c>
      <x:c r="V28" s="17" t="str">
        <x:v>core_data_center</x:v>
      </x:c>
      <x:c r="W28" s="91"/>
      <x:c r="X28" s="91"/>
      <x:c r="Y28" s="91"/>
      <x:c r="Z28" s="35"/>
      <x:c r="AA28" s="17" t="str">
        <x:v>peeringdb | edgeconnex_official</x:v>
      </x:c>
      <x:c r="AB28" s="94" t="n">
        <x:v>2</x:v>
      </x:c>
      <x:c r="AC28" s="94" t="n">
        <x:v>2</x:v>
      </x:c>
      <x:c r="AD28" s="23" t="str">
        <x:v>peeringdb:1930 | edgeconnex:mem01-datasheet</x:v>
      </x:c>
      <x:c r="AE28" s="17" t="str">
        <x:v>http://www.edgeconnex.com | https://www.edgeconnex.com/wp-content/uploads/2023/06/ECX-22-39-MEMPHIS-2023-DATA-SHEET-V3.pdf | https://www.datacentermap.com/usa/tennessee/memphis/edgeconnex-edcmem01/specs/</x:v>
      </x:c>
      <x:c r="AF28" s="18" t="str">
        <x:v>2026-09-03</x:v>
      </x:c>
      <x:c r="AG28" s="85" t="str">
        <x:v>confirmed</x:v>
      </x:c>
      <x:c r="AH28" s="85" t="str">
        <x:v>identified</x:v>
      </x:c>
      <x:c r="AI28" s="96" t="n">
        <x:v>2</x:v>
      </x:c>
      <x:c r="AJ28" s="86" t="b">
        <x:v>1</x:v>
      </x:c>
      <x:c r="AK28" s="96" t="n">
        <x:v>91</x:v>
      </x:c>
      <x:c r="AL28" s="85" t="str">
        <x:v>high</x:v>
      </x:c>
      <x:c r="AM28" s="85" t="str">
        <x:v>Cross-verified facility record; unresolved values remain null rather than inferred.</x:v>
      </x:c>
      <x:c r="AN28" s="85" t="str">
        <x:v>1.1</x:v>
      </x:c>
      <x:c r="AO28" s="85" t="str">
        <x:v>2026-09-03</x:v>
      </x:c>
    </x:row>
    <x:row r="29" ht="30" hidden="0" customHeight="1">
      <x:c r="A29" s="16" t="str">
        <x:v>TNDC-028</x:v>
      </x:c>
      <x:c r="B29" s="23" t="str">
        <x:v>Expedient Memphis</x:v>
      </x:c>
      <x:c r="C29" s="23" t="str">
        <x:v>Expedient</x:v>
      </x:c>
      <x:c r="D29" s="23" t="str">
        <x:v>Expedient</x:v>
      </x:c>
      <x:c r="E29" s="23" t="str">
        <x:v>3180 Players Lane</x:v>
      </x:c>
      <x:c r="F29" s="17" t="str">
        <x:v>Memphis</x:v>
      </x:c>
      <x:c r="G29" s="26" t="str">
        <x:v>Shelby</x:v>
      </x:c>
      <x:c r="H29" s="17" t="str">
        <x:v>TN</x:v>
      </x:c>
      <x:c r="I29" s="17" t="str">
        <x:v>38125</x:v>
      </x:c>
      <x:c r="J29" s="29" t="n">
        <x:v>35.062965</x:v>
      </x:c>
      <x:c r="K29" s="29" t="n">
        <x:v>-89.786143</x:v>
      </x:c>
      <x:c r="L29" s="17" t="str">
        <x:v>address_or_site</x:v>
      </x:c>
      <x:c r="M29" s="17" t="str">
        <x:v>high</x:v>
      </x:c>
      <x:c r="N29" s="23" t="str">
        <x:v>peeringdb:8473</x:v>
      </x:c>
      <x:c r="O29" s="88"/>
      <x:c r="P29" s="77" t="b">
        <x:v>0</x:v>
      </x:c>
      <x:c r="Q29" s="17" t="str">
        <x:v>operational</x:v>
      </x:c>
      <x:c r="R29" s="17" t="str">
        <x:v>operational</x:v>
      </x:c>
      <x:c r="S29" s="77" t="b">
        <x:v>0</x:v>
      </x:c>
      <x:c r="T29" s="17" t="str">
        <x:v>interconnection_facility</x:v>
      </x:c>
      <x:c r="U29" s="17" t="str">
        <x:v>interconnection_facility</x:v>
      </x:c>
      <x:c r="V29" s="17" t="str">
        <x:v>core_data_center</x:v>
      </x:c>
      <x:c r="W29" s="91"/>
      <x:c r="X29" s="91"/>
      <x:c r="Y29" s="91"/>
      <x:c r="Z29" s="35"/>
      <x:c r="AA29" s="17" t="str">
        <x:v>peeringdb | expedient_official</x:v>
      </x:c>
      <x:c r="AB29" s="94" t="n">
        <x:v>2</x:v>
      </x:c>
      <x:c r="AC29" s="94" t="n">
        <x:v>2</x:v>
      </x:c>
      <x:c r="AD29" s="23" t="str">
        <x:v>peeringdb:8473 | expedient:mem1</x:v>
      </x:c>
      <x:c r="AE29" s="17" t="str">
        <x:v>https://www.expedient.com/data-centers/ | https://www.expedient.com/data-centers/memphis/ | https://www.datacentermap.com/usa/tennessee/memphis/expedient-memphis/</x:v>
      </x:c>
      <x:c r="AF29" s="18" t="str">
        <x:v>2026-09-03</x:v>
      </x:c>
      <x:c r="AG29" s="85" t="str">
        <x:v>confirmed</x:v>
      </x:c>
      <x:c r="AH29" s="85" t="str">
        <x:v>identified</x:v>
      </x:c>
      <x:c r="AI29" s="96" t="n">
        <x:v>2</x:v>
      </x:c>
      <x:c r="AJ29" s="86" t="b">
        <x:v>1</x:v>
      </x:c>
      <x:c r="AK29" s="96" t="n">
        <x:v>91</x:v>
      </x:c>
      <x:c r="AL29" s="85" t="str">
        <x:v>high</x:v>
      </x:c>
      <x:c r="AM29" s="85" t="str">
        <x:v>Cross-verified facility record; unresolved values remain null rather than inferred.</x:v>
      </x:c>
      <x:c r="AN29" s="85" t="str">
        <x:v>1.1</x:v>
      </x:c>
      <x:c r="AO29" s="85" t="str">
        <x:v>2026-09-03</x:v>
      </x:c>
    </x:row>
    <x:row r="30" ht="30" hidden="0" customHeight="1">
      <x:c r="A30" s="16" t="str">
        <x:v>TNDC-029</x:v>
      </x:c>
      <x:c r="B30" s="23" t="str">
        <x:v>Level(3) Memphis</x:v>
      </x:c>
      <x:c r="C30" s="23" t="str">
        <x:v>Lumen Technologies Inc</x:v>
      </x:c>
      <x:c r="D30" s="23" t="str">
        <x:v>Lumen Technologies Inc</x:v>
      </x:c>
      <x:c r="E30" s="23" t="str">
        <x:v>3993 Crowfarn Drive</x:v>
      </x:c>
      <x:c r="F30" s="17" t="str">
        <x:v>Memphis</x:v>
      </x:c>
      <x:c r="G30" s="26" t="str">
        <x:v>Shelby</x:v>
      </x:c>
      <x:c r="H30" s="17" t="str">
        <x:v>TN</x:v>
      </x:c>
      <x:c r="I30" s="17" t="str">
        <x:v>38118-7326</x:v>
      </x:c>
      <x:c r="J30" s="29" t="n">
        <x:v>35.028826</x:v>
      </x:c>
      <x:c r="K30" s="29" t="n">
        <x:v>-89.930755</x:v>
      </x:c>
      <x:c r="L30" s="17" t="str">
        <x:v>address_or_site</x:v>
      </x:c>
      <x:c r="M30" s="17" t="str">
        <x:v>high</x:v>
      </x:c>
      <x:c r="N30" s="23" t="str">
        <x:v>peeringdb:1294</x:v>
      </x:c>
      <x:c r="O30" s="88"/>
      <x:c r="P30" s="77" t="b">
        <x:v>0</x:v>
      </x:c>
      <x:c r="Q30" s="17" t="str">
        <x:v>operational</x:v>
      </x:c>
      <x:c r="R30" s="17" t="str">
        <x:v>operational</x:v>
      </x:c>
      <x:c r="S30" s="77" t="b">
        <x:v>0</x:v>
      </x:c>
      <x:c r="T30" s="17" t="str">
        <x:v>interconnection_facility</x:v>
      </x:c>
      <x:c r="U30" s="17" t="str">
        <x:v>interconnection_facility</x:v>
      </x:c>
      <x:c r="V30" s="17" t="str">
        <x:v>core_data_center</x:v>
      </x:c>
      <x:c r="W30" s="91"/>
      <x:c r="X30" s="91"/>
      <x:c r="Y30" s="91"/>
      <x:c r="Z30" s="35"/>
      <x:c r="AA30" s="17" t="str">
        <x:v>peeringdb | datacentermap</x:v>
      </x:c>
      <x:c r="AB30" s="94" t="n">
        <x:v>2</x:v>
      </x:c>
      <x:c r="AC30" s="94" t="n">
        <x:v>2</x:v>
      </x:c>
      <x:c r="AD30" s="23" t="str">
        <x:v>peeringdb:1294 | datacentermap:lumen-memphis1</x:v>
      </x:c>
      <x:c r="AE30" s="17" t="str">
        <x:v>http://www.level3.com | https://www.datacentermap.com/usa/tennessee/memphis/level3-memphis1/</x:v>
      </x:c>
      <x:c r="AF30" s="18" t="str">
        <x:v>2026-09-03</x:v>
      </x:c>
      <x:c r="AG30" s="85" t="str">
        <x:v>confirmed</x:v>
      </x:c>
      <x:c r="AH30" s="85" t="str">
        <x:v>identified</x:v>
      </x:c>
      <x:c r="AI30" s="96" t="n">
        <x:v>2</x:v>
      </x:c>
      <x:c r="AJ30" s="86" t="b">
        <x:v>1</x:v>
      </x:c>
      <x:c r="AK30" s="96" t="n">
        <x:v>91</x:v>
      </x:c>
      <x:c r="AL30" s="85" t="str">
        <x:v>high</x:v>
      </x:c>
      <x:c r="AM30" s="85" t="str">
        <x:v>Cross-verified facility record; unresolved values remain null rather than inferred.</x:v>
      </x:c>
      <x:c r="AN30" s="85" t="str">
        <x:v>1.1</x:v>
      </x:c>
      <x:c r="AO30" s="85" t="str">
        <x:v>2026-09-03</x:v>
      </x:c>
    </x:row>
    <x:row r="31" ht="30" hidden="0" customHeight="1">
      <x:c r="A31" s="16" t="str">
        <x:v>TNDC-030</x:v>
      </x:c>
      <x:c r="B31" s="23" t="str">
        <x:v>xAI Colossus 1</x:v>
      </x:c>
      <x:c r="C31" s="23" t="str">
        <x:v>xAI</x:v>
      </x:c>
      <x:c r="D31" s="23" t="str">
        <x:v>xAI</x:v>
      </x:c>
      <x:c r="E31" s="23" t="str">
        <x:v>3231 Riverport Rd/ Paul Lowry Rd</x:v>
      </x:c>
      <x:c r="F31" s="17" t="str">
        <x:v>Memphis</x:v>
      </x:c>
      <x:c r="G31" s="26" t="str">
        <x:v>Shelby</x:v>
      </x:c>
      <x:c r="H31" s="17" t="str">
        <x:v>TN</x:v>
      </x:c>
      <x:c r="I31" s="17" t="str">
        <x:v>38109</x:v>
      </x:c>
      <x:c r="J31" s="29" t="n">
        <x:v>35.05983</x:v>
      </x:c>
      <x:c r="K31" s="29" t="n">
        <x:v>-90.1562</x:v>
      </x:c>
      <x:c r="L31" s="17" t="str">
        <x:v>address_or_site</x:v>
      </x:c>
      <x:c r="M31" s="17" t="str">
        <x:v>high</x:v>
      </x:c>
      <x:c r="N31" s="23" t="str">
        <x:v>fractracker:499</x:v>
      </x:c>
      <x:c r="O31" s="88"/>
      <x:c r="P31" s="77" t="b">
        <x:v>0</x:v>
      </x:c>
      <x:c r="Q31" s="17" t="str">
        <x:v>operational</x:v>
      </x:c>
      <x:c r="R31" s="17" t="str">
        <x:v>operational</x:v>
      </x:c>
      <x:c r="S31" s="77" t="b">
        <x:v>0</x:v>
      </x:c>
      <x:c r="T31" s="17" t="str">
        <x:v>data_center</x:v>
      </x:c>
      <x:c r="U31" s="17" t="str">
        <x:v>data_center</x:v>
      </x:c>
      <x:c r="V31" s="17" t="str">
        <x:v>core_data_center</x:v>
      </x:c>
      <x:c r="W31" s="91" t="n">
        <x:v>498</x:v>
      </x:c>
      <x:c r="X31" s="91"/>
      <x:c r="Y31" s="91"/>
      <x:c r="Z31" s="35"/>
      <x:c r="AA31" s="17" t="str">
        <x:v>fractracker | datacenterdynamics</x:v>
      </x:c>
      <x:c r="AB31" s="94" t="n">
        <x:v>2</x:v>
      </x:c>
      <x:c r="AC31" s="94" t="n">
        <x:v>2</x:v>
      </x:c>
      <x:c r="AD31" s="23" t="str">
        <x:v>fractracker:499 | dcd:xai-colossus1</x:v>
      </x:c>
      <x:c r="AE31" s="17" t="str">
        <x:v>https://epoch.ai/data/data-centers/satellite-explorer/xAIColossus1MemphisTennessee?ref=404media.co | https://www.datacenterdynamics.com/en/news/xai-removes-some-of-controversial-gas-turbines-from-memphis-data-center/ | https://www.selc.org/news/xai-built-an-illegal-power-plant-to-power-its-data-center/</x:v>
      </x:c>
      <x:c r="AF31" s="18" t="str">
        <x:v>2026-09-03</x:v>
      </x:c>
      <x:c r="AG31" s="85" t="str">
        <x:v>confirmed</x:v>
      </x:c>
      <x:c r="AH31" s="85" t="str">
        <x:v>identified</x:v>
      </x:c>
      <x:c r="AI31" s="96" t="n">
        <x:v>3</x:v>
      </x:c>
      <x:c r="AJ31" s="86" t="b">
        <x:v>1</x:v>
      </x:c>
      <x:c r="AK31" s="96" t="n">
        <x:v>98</x:v>
      </x:c>
      <x:c r="AL31" s="85" t="str">
        <x:v>high</x:v>
      </x:c>
      <x:c r="AM31" s="85" t="str">
        <x:v>Cross-verified facility record; unresolved values remain null rather than inferred.</x:v>
      </x:c>
      <x:c r="AN31" s="85" t="str">
        <x:v>1.1</x:v>
      </x:c>
      <x:c r="AO31" s="85" t="str">
        <x:v>2026-09-03</x:v>
      </x:c>
    </x:row>
    <x:row r="32" ht="30" hidden="0" customHeight="1">
      <x:c r="A32" s="16" t="str">
        <x:v>TNDC-031</x:v>
      </x:c>
      <x:c r="B32" s="23" t="str">
        <x:v>xAI Colossus 2</x:v>
      </x:c>
      <x:c r="C32" s="23" t="str">
        <x:v>xAI</x:v>
      </x:c>
      <x:c r="D32" s="23" t="str">
        <x:v>xAI</x:v>
      </x:c>
      <x:c r="E32" s="23" t="str">
        <x:v>5420 Tulane Rd</x:v>
      </x:c>
      <x:c r="F32" s="17" t="str">
        <x:v>Memphis</x:v>
      </x:c>
      <x:c r="G32" s="26" t="str">
        <x:v>Shelby</x:v>
      </x:c>
      <x:c r="H32" s="17" t="str">
        <x:v>TN</x:v>
      </x:c>
      <x:c r="I32" s="17" t="str">
        <x:v>38109</x:v>
      </x:c>
      <x:c r="J32" s="29" t="n">
        <x:v>34.998074</x:v>
      </x:c>
      <x:c r="K32" s="29" t="n">
        <x:v>-90.03507</x:v>
      </x:c>
      <x:c r="L32" s="17" t="str">
        <x:v>address_or_site</x:v>
      </x:c>
      <x:c r="M32" s="17" t="str">
        <x:v>high</x:v>
      </x:c>
      <x:c r="N32" s="23" t="str">
        <x:v>fractracker:500</x:v>
      </x:c>
      <x:c r="O32" s="88"/>
      <x:c r="P32" s="77" t="b">
        <x:v>0</x:v>
      </x:c>
      <x:c r="Q32" s="17" t="str">
        <x:v>expanding</x:v>
      </x:c>
      <x:c r="R32" s="17" t="str">
        <x:v>expanding</x:v>
      </x:c>
      <x:c r="S32" s="77" t="b">
        <x:v>0</x:v>
      </x:c>
      <x:c r="T32" s="17" t="str">
        <x:v>data_center</x:v>
      </x:c>
      <x:c r="U32" s="17" t="str">
        <x:v>data_center</x:v>
      </x:c>
      <x:c r="V32" s="17" t="str">
        <x:v>core_data_center</x:v>
      </x:c>
      <x:c r="W32" s="91" t="n">
        <x:v>1400</x:v>
      </x:c>
      <x:c r="X32" s="91" t="n">
        <x:v>1000000</x:v>
      </x:c>
      <x:c r="Y32" s="91"/>
      <x:c r="Z32" s="35"/>
      <x:c r="AA32" s="17" t="str">
        <x:v>fractracker | datacenterdynamics</x:v>
      </x:c>
      <x:c r="AB32" s="94" t="n">
        <x:v>2</x:v>
      </x:c>
      <x:c r="AC32" s="94" t="n">
        <x:v>2</x:v>
      </x:c>
      <x:c r="AD32" s="23" t="str">
        <x:v>fractracker:500 | dcd:xai-colossus2</x:v>
      </x:c>
      <x:c r="AE32" s="17" t="str">
        <x:v>https://epoch.ai/data/data-centers/satellite-explorer/xAIColossus2MemphisTennessee?ref=404media.co | https://www.datacenterdynamics.com/en/news/elon-musks-xai-buys-one-million-sq-ft-site-for-second-memphis-data-center/ | https://www.datacenterdynamics.com/en/news/elon-musks-xai-to-spend-659m-on-new-building-for-memphis-data-center-cluster/ | https://www.datacenterdynamics.com/en/news/musk-confirms-fourth-spacexai-data-center-in-memphis-company-starts-removing-illegal-gas-turbines/ | https://www.selc.org/news/xai-built-an-illegal-power-plant-to-power-its-data-center/ | https://www.tomshardware.com/tech-industry/artificial-intelligence/elon-musk-xai-power-plant-overseas-to-power-1-million-gpus</x:v>
      </x:c>
      <x:c r="AF32" s="18" t="str">
        <x:v>2026-09-03</x:v>
      </x:c>
      <x:c r="AG32" s="85" t="str">
        <x:v>confirmed</x:v>
      </x:c>
      <x:c r="AH32" s="85" t="str">
        <x:v>identified</x:v>
      </x:c>
      <x:c r="AI32" s="96" t="n">
        <x:v>4</x:v>
      </x:c>
      <x:c r="AJ32" s="86" t="b">
        <x:v>1</x:v>
      </x:c>
      <x:c r="AK32" s="96" t="n">
        <x:v>98</x:v>
      </x:c>
      <x:c r="AL32" s="85" t="str">
        <x:v>high</x:v>
      </x:c>
      <x:c r="AM32" s="85" t="str">
        <x:v>Cross-verified facility record; unresolved values remain null rather than inferred.</x:v>
      </x:c>
      <x:c r="AN32" s="85" t="str">
        <x:v>1.1</x:v>
      </x:c>
      <x:c r="AO32" s="85" t="str">
        <x:v>2026-09-03</x:v>
      </x:c>
    </x:row>
    <x:row r="33" ht="30" hidden="0" customHeight="1">
      <x:c r="A33" s="16" t="str">
        <x:v>TNDC-032</x:v>
      </x:c>
      <x:c r="B33" s="23" t="str">
        <x:v>DC BLOX Nashville (Grassmere Park)</x:v>
      </x:c>
      <x:c r="C33" s="23" t="str">
        <x:v>DC BLOX</x:v>
      </x:c>
      <x:c r="D33" s="23" t="str">
        <x:v>DC BLOX</x:v>
      </x:c>
      <x:c r="E33" s="23" t="str">
        <x:v>648 Grassmere Park</x:v>
      </x:c>
      <x:c r="F33" s="17" t="str">
        <x:v>Nashville</x:v>
      </x:c>
      <x:c r="G33" s="26" t="str">
        <x:v>Davidson</x:v>
      </x:c>
      <x:c r="H33" s="17" t="str">
        <x:v>TN</x:v>
      </x:c>
      <x:c r="I33" s="17" t="str">
        <x:v>37211</x:v>
      </x:c>
      <x:c r="J33" s="29" t="n">
        <x:v>36.090492</x:v>
      </x:c>
      <x:c r="K33" s="29" t="n">
        <x:v>-86.74721</x:v>
      </x:c>
      <x:c r="L33" s="17" t="str">
        <x:v>address_or_site</x:v>
      </x:c>
      <x:c r="M33" s="17" t="str">
        <x:v>high</x:v>
      </x:c>
      <x:c r="N33" s="23" t="str">
        <x:v>fractracker:1780860040054-4476</x:v>
      </x:c>
      <x:c r="O33" s="88" t="n">
        <x:v>0.47</x:v>
      </x:c>
      <x:c r="P33" s="77" t="b">
        <x:v>0</x:v>
      </x:c>
      <x:c r="Q33" s="17" t="str">
        <x:v>proposed</x:v>
      </x:c>
      <x:c r="R33" s="17" t="str">
        <x:v>proposed</x:v>
      </x:c>
      <x:c r="S33" s="77" t="b">
        <x:v>0</x:v>
      </x:c>
      <x:c r="T33" s="17" t="str">
        <x:v>data_center</x:v>
      </x:c>
      <x:c r="U33" s="17" t="str">
        <x:v>data_center</x:v>
      </x:c>
      <x:c r="V33" s="17" t="str">
        <x:v>core_data_center</x:v>
      </x:c>
      <x:c r="W33" s="91"/>
      <x:c r="X33" s="91" t="n">
        <x:v>69220</x:v>
      </x:c>
      <x:c r="Y33" s="91"/>
      <x:c r="Z33" s="35"/>
      <x:c r="AA33" s="17" t="str">
        <x:v>compute_atlas | fractracker</x:v>
      </x:c>
      <x:c r="AB33" s="94" t="n">
        <x:v>2</x:v>
      </x:c>
      <x:c r="AC33" s="94" t="n">
        <x:v>2</x:v>
      </x:c>
      <x:c r="AD33" s="23" t="str">
        <x:v>compute_atlas:dcblox-nashville-grassmere-tn | fractracker:1780860040054-4476</x:v>
      </x:c>
      <x:c r="AE33" s="17" t="str">
        <x:v>https://williamsonsource.com/dc-blox-sues-metro-over-blocked-data-center-project-near-nashville-zoo/ | https://www.wsmv.com/2026/07/22/metro-council-passes-first-data-center-regulations-nashville-heres-what-changes/ | https://www.yahoo.com/news/us/articles/guide-data-centers-tennessee-could-081728521.html | https://www.datacenterdynamics.com/en/news/dc-bloxs-proposed-24-acre-data-center-near-nashville-zoo-could-be-blocked-by-moratorium/ | https://www.wkrn.com/news/local-news/nashville/160k-sign-petition-opposing-data-center-next-nashville-zoo/ | https://www.wsmv.com/2026/06/04/what-know-about-potential-data-center-next-nashville-zoo-facility-launches-petition-against-its-construction-feet-away-one-most-fragile-rare-collections-animals/</x:v>
      </x:c>
      <x:c r="AF33" s="18" t="str">
        <x:v>2026-08-15</x:v>
      </x:c>
      <x:c r="AG33" s="85" t="str">
        <x:v>confirmed</x:v>
      </x:c>
      <x:c r="AH33" s="85" t="str">
        <x:v>identified</x:v>
      </x:c>
      <x:c r="AI33" s="96" t="n">
        <x:v>5</x:v>
      </x:c>
      <x:c r="AJ33" s="86" t="b">
        <x:v>1</x:v>
      </x:c>
      <x:c r="AK33" s="96" t="n">
        <x:v>98</x:v>
      </x:c>
      <x:c r="AL33" s="85" t="str">
        <x:v>high</x:v>
      </x:c>
      <x:c r="AM33" s="85" t="str">
        <x:v>Cross-verified facility record; unresolved values remain null rather than inferred.</x:v>
      </x:c>
      <x:c r="AN33" s="85" t="str">
        <x:v>1.1</x:v>
      </x:c>
      <x:c r="AO33" s="85" t="str">
        <x:v>2026-09-03</x:v>
      </x:c>
    </x:row>
    <x:row r="34" ht="30" hidden="0" customHeight="1">
      <x:c r="A34" s="16" t="str">
        <x:v>TNDC-033</x:v>
      </x:c>
      <x:c r="B34" s="23" t="str">
        <x:v>EdgeConneX Nashville (EDCNAS01)</x:v>
      </x:c>
      <x:c r="C34" s="23" t="str">
        <x:v>EdgeConneX Inc.</x:v>
      </x:c>
      <x:c r="D34" s="23" t="str">
        <x:v>EdgeConneX Inc.</x:v>
      </x:c>
      <x:c r="E34" s="23" t="str">
        <x:v>1841 Air Lane Dr</x:v>
      </x:c>
      <x:c r="F34" s="17" t="str">
        <x:v>Nashville</x:v>
      </x:c>
      <x:c r="G34" s="26" t="str">
        <x:v>Davidson</x:v>
      </x:c>
      <x:c r="H34" s="17" t="str">
        <x:v>TN</x:v>
      </x:c>
      <x:c r="I34" s="17" t="str">
        <x:v>37210</x:v>
      </x:c>
      <x:c r="J34" s="29" t="n">
        <x:v>36.144881</x:v>
      </x:c>
      <x:c r="K34" s="29" t="n">
        <x:v>-86.701721</x:v>
      </x:c>
      <x:c r="L34" s="17" t="str">
        <x:v>address_or_site</x:v>
      </x:c>
      <x:c r="M34" s="17" t="str">
        <x:v>high</x:v>
      </x:c>
      <x:c r="N34" s="23" t="str">
        <x:v>peeringdb:1924</x:v>
      </x:c>
      <x:c r="O34" s="88"/>
      <x:c r="P34" s="77" t="b">
        <x:v>0</x:v>
      </x:c>
      <x:c r="Q34" s="17" t="str">
        <x:v>operational</x:v>
      </x:c>
      <x:c r="R34" s="17" t="str">
        <x:v>operational</x:v>
      </x:c>
      <x:c r="S34" s="77" t="b">
        <x:v>0</x:v>
      </x:c>
      <x:c r="T34" s="17" t="str">
        <x:v>interconnection_facility</x:v>
      </x:c>
      <x:c r="U34" s="17" t="str">
        <x:v>interconnection_facility</x:v>
      </x:c>
      <x:c r="V34" s="17" t="str">
        <x:v>core_data_center</x:v>
      </x:c>
      <x:c r="W34" s="91"/>
      <x:c r="X34" s="91"/>
      <x:c r="Y34" s="91"/>
      <x:c r="Z34" s="35"/>
      <x:c r="AA34" s="17" t="str">
        <x:v>peeringdb | edgeconnex_official</x:v>
      </x:c>
      <x:c r="AB34" s="94" t="n">
        <x:v>2</x:v>
      </x:c>
      <x:c r="AC34" s="94" t="n">
        <x:v>2</x:v>
      </x:c>
      <x:c r="AD34" s="23" t="str">
        <x:v>peeringdb:1924 | edgeconnex:nas01-datasheet</x:v>
      </x:c>
      <x:c r="AE34" s="17" t="str">
        <x:v>http://www.edgeconnex.com | https://static.datacentermap.com/company/edgeconnex/datacenter5546/EDCNAS01%20-%20Data%20Sheet.pdf</x:v>
      </x:c>
      <x:c r="AF34" s="18" t="str">
        <x:v>2026-09-03</x:v>
      </x:c>
      <x:c r="AG34" s="85" t="str">
        <x:v>confirmed</x:v>
      </x:c>
      <x:c r="AH34" s="85" t="str">
        <x:v>identified</x:v>
      </x:c>
      <x:c r="AI34" s="96" t="n">
        <x:v>2</x:v>
      </x:c>
      <x:c r="AJ34" s="86" t="b">
        <x:v>1</x:v>
      </x:c>
      <x:c r="AK34" s="96" t="n">
        <x:v>91</x:v>
      </x:c>
      <x:c r="AL34" s="85" t="str">
        <x:v>high</x:v>
      </x:c>
      <x:c r="AM34" s="85" t="str">
        <x:v>Cross-verified facility record; unresolved values remain null rather than inferred.</x:v>
      </x:c>
      <x:c r="AN34" s="85" t="str">
        <x:v>1.1</x:v>
      </x:c>
      <x:c r="AO34" s="85" t="str">
        <x:v>2026-09-03</x:v>
      </x:c>
    </x:row>
    <x:row r="35" ht="30" hidden="0" customHeight="1">
      <x:c r="A35" s="16" t="str">
        <x:v>TNDC-034</x:v>
      </x:c>
      <x:c r="B35" s="23" t="str">
        <x:v>H5 Data Centers Nashville</x:v>
      </x:c>
      <x:c r="C35" s="23" t="str">
        <x:v>H5 Data Centers</x:v>
      </x:c>
      <x:c r="D35" s="23" t="str">
        <x:v>H5 Data Centers</x:v>
      </x:c>
      <x:c r="E35" s="23" t="str">
        <x:v>147 Fourth Ave</x:v>
      </x:c>
      <x:c r="F35" s="17" t="str">
        <x:v>Nashville</x:v>
      </x:c>
      <x:c r="G35" s="26" t="str">
        <x:v>Davidson</x:v>
      </x:c>
      <x:c r="H35" s="17" t="str">
        <x:v>TN</x:v>
      </x:c>
      <x:c r="I35" s="17" t="str">
        <x:v>37219</x:v>
      </x:c>
      <x:c r="J35" s="29" t="n">
        <x:v>36.1628</x:v>
      </x:c>
      <x:c r="K35" s="29" t="n">
        <x:v>-86.77863</x:v>
      </x:c>
      <x:c r="L35" s="17" t="str">
        <x:v>address_or_site</x:v>
      </x:c>
      <x:c r="M35" s="17" t="str">
        <x:v>high</x:v>
      </x:c>
      <x:c r="N35" s="23" t="str">
        <x:v>fractracker:1772678598263-1520</x:v>
      </x:c>
      <x:c r="O35" s="88" t="n">
        <x:v>0.0197</x:v>
      </x:c>
      <x:c r="P35" s="77" t="b">
        <x:v>0</x:v>
      </x:c>
      <x:c r="Q35" s="17" t="str">
        <x:v>operational</x:v>
      </x:c>
      <x:c r="R35" s="17" t="str">
        <x:v>operational | proposed</x:v>
      </x:c>
      <x:c r="S35" s="77" t="b">
        <x:v>1</x:v>
      </x:c>
      <x:c r="T35" s="17" t="str">
        <x:v>data_center</x:v>
      </x:c>
      <x:c r="U35" s="17" t="str">
        <x:v>data_center | interconnection_facility</x:v>
      </x:c>
      <x:c r="V35" s="17" t="str">
        <x:v>core_data_center</x:v>
      </x:c>
      <x:c r="W35" s="91"/>
      <x:c r="X35" s="91" t="n">
        <x:v>19700</x:v>
      </x:c>
      <x:c r="Y35" s="91"/>
      <x:c r="Z35" s="35"/>
      <x:c r="AA35" s="17" t="str">
        <x:v>fractracker | peeringdb</x:v>
      </x:c>
      <x:c r="AB35" s="94" t="n">
        <x:v>2</x:v>
      </x:c>
      <x:c r="AC35" s="94" t="n">
        <x:v>2</x:v>
      </x:c>
      <x:c r="AD35" s="23" t="str">
        <x:v>fractracker:1772678598263-1520 | peeringdb:561</x:v>
      </x:c>
      <x:c r="AE35" s="17" t="str">
        <x:v>https://h5datacenters.com/nashville-colocation.html | https://www.datacenterdynamics.com/en/news/h5-and-novacap-launch-new-data-center-platform-acquire-three-carrier-hotels-from-365/</x:v>
      </x:c>
      <x:c r="AF35" s="18" t="n">
        <x:v>46085</x:v>
      </x:c>
      <x:c r="AG35" s="85" t="str">
        <x:v>confirmed</x:v>
      </x:c>
      <x:c r="AH35" s="85" t="str">
        <x:v>identified</x:v>
      </x:c>
      <x:c r="AI35" s="96" t="n">
        <x:v>2</x:v>
      </x:c>
      <x:c r="AJ35" s="86" t="b">
        <x:v>1</x:v>
      </x:c>
      <x:c r="AK35" s="96" t="n">
        <x:v>76</x:v>
      </x:c>
      <x:c r="AL35" s="85" t="str">
        <x:v>high</x:v>
      </x:c>
      <x:c r="AM35" s="85" t="str">
        <x:v>Cross-verified facility record; unresolved values remain null rather than inferred.</x:v>
      </x:c>
      <x:c r="AN35" s="85" t="str">
        <x:v>1.1</x:v>
      </x:c>
      <x:c r="AO35" s="85" t="str">
        <x:v>2026-09-03</x:v>
      </x:c>
    </x:row>
    <x:row r="36" ht="30" hidden="0" customHeight="1">
      <x:c r="A36" s="16" t="str">
        <x:v>TNDC-035</x:v>
      </x:c>
      <x:c r="B36" s="23" t="str">
        <x:v>H5 Data Centers Nashville (TN01)</x:v>
      </x:c>
      <x:c r="C36" s="23" t="str">
        <x:v>IRIS</x:v>
      </x:c>
      <x:c r="D36" s="23" t="str">
        <x:v>H5 Data Centers | IRIS</x:v>
      </x:c>
      <x:c r="E36" s="23" t="str">
        <x:v>211 Commerce Street</x:v>
      </x:c>
      <x:c r="F36" s="17" t="str">
        <x:v>Nashville</x:v>
      </x:c>
      <x:c r="G36" s="26" t="str">
        <x:v>Davidson</x:v>
      </x:c>
      <x:c r="H36" s="17" t="str">
        <x:v>TN</x:v>
      </x:c>
      <x:c r="I36" s="17" t="str">
        <x:v>37201</x:v>
      </x:c>
      <x:c r="J36" s="29" t="n">
        <x:v>36.162621</x:v>
      </x:c>
      <x:c r="K36" s="29" t="n">
        <x:v>-86.776316</x:v>
      </x:c>
      <x:c r="L36" s="17" t="str">
        <x:v>address_or_site</x:v>
      </x:c>
      <x:c r="M36" s="17" t="str">
        <x:v>high</x:v>
      </x:c>
      <x:c r="N36" s="23" t="str">
        <x:v>peeringdb:312</x:v>
      </x:c>
      <x:c r="O36" s="88" t="n">
        <x:v>0</x:v>
      </x:c>
      <x:c r="P36" s="77" t="b">
        <x:v>0</x:v>
      </x:c>
      <x:c r="Q36" s="17" t="str">
        <x:v>operational</x:v>
      </x:c>
      <x:c r="R36" s="17" t="str">
        <x:v>decommissioned | operational</x:v>
      </x:c>
      <x:c r="S36" s="77" t="b">
        <x:v>1</x:v>
      </x:c>
      <x:c r="T36" s="17" t="str">
        <x:v>interconnection_facility</x:v>
      </x:c>
      <x:c r="U36" s="17" t="str">
        <x:v>interconnection_facility</x:v>
      </x:c>
      <x:c r="V36" s="17" t="str">
        <x:v>core_data_center</x:v>
      </x:c>
      <x:c r="W36" s="91"/>
      <x:c r="X36" s="91"/>
      <x:c r="Y36" s="91"/>
      <x:c r="Z36" s="35"/>
      <x:c r="AA36" s="17" t="str">
        <x:v>peeringdb | datacentermap</x:v>
      </x:c>
      <x:c r="AB36" s="94" t="n">
        <x:v>2</x:v>
      </x:c>
      <x:c r="AC36" s="94" t="n">
        <x:v>3</x:v>
      </x:c>
      <x:c r="AD36" s="23" t="str">
        <x:v>peeringdb:312 | peeringdb:3925 | datacentermap:h5-nashville1</x:v>
      </x:c>
      <x:c r="AE36" s="17" t="str">
        <x:v>http://h5datacenters.com/ | http://www.iristransport.com/ | https://www.datacentermap.com/usa/tennessee/nashville/h5-nashville/</x:v>
      </x:c>
      <x:c r="AF36" s="18" t="str">
        <x:v>2026-09-03</x:v>
      </x:c>
      <x:c r="AG36" s="85" t="str">
        <x:v>confirmed</x:v>
      </x:c>
      <x:c r="AH36" s="85" t="str">
        <x:v>identified</x:v>
      </x:c>
      <x:c r="AI36" s="96" t="n">
        <x:v>3</x:v>
      </x:c>
      <x:c r="AJ36" s="86" t="b">
        <x:v>1</x:v>
      </x:c>
      <x:c r="AK36" s="96" t="n">
        <x:v>90</x:v>
      </x:c>
      <x:c r="AL36" s="85" t="str">
        <x:v>high</x:v>
      </x:c>
      <x:c r="AM36" s="85" t="str">
        <x:v>Cross-verified facility record; unresolved values remain null rather than inferred.</x:v>
      </x:c>
      <x:c r="AN36" s="85" t="str">
        <x:v>1.1</x:v>
      </x:c>
      <x:c r="AO36" s="85" t="str">
        <x:v>2026-09-03</x:v>
      </x:c>
    </x:row>
    <x:row r="37" ht="30" hidden="0" customHeight="1">
      <x:c r="A37" s="16" t="str">
        <x:v>TNDC-036</x:v>
      </x:c>
      <x:c r="B37" s="23" t="str">
        <x:v>Level(3) Nashville (9th Ave)</x:v>
      </x:c>
      <x:c r="C37" s="23" t="str">
        <x:v>Lumen Technologies Inc</x:v>
      </x:c>
      <x:c r="D37" s="23" t="str">
        <x:v>Lumen Technologies Inc</x:v>
      </x:c>
      <x:c r="E37" s="23" t="str">
        <x:v>2208 9th Ave N</x:v>
      </x:c>
      <x:c r="F37" s="17" t="str">
        <x:v>Nashville</x:v>
      </x:c>
      <x:c r="G37" s="26" t="str">
        <x:v>Davidson</x:v>
      </x:c>
      <x:c r="H37" s="17" t="str">
        <x:v>TN</x:v>
      </x:c>
      <x:c r="I37" s="17" t="str">
        <x:v>37208</x:v>
      </x:c>
      <x:c r="J37" s="29" t="n">
        <x:v>36.189148</x:v>
      </x:c>
      <x:c r="K37" s="29" t="n">
        <x:v>-86.804111</x:v>
      </x:c>
      <x:c r="L37" s="17" t="str">
        <x:v>address_or_site</x:v>
      </x:c>
      <x:c r="M37" s="17" t="str">
        <x:v>high</x:v>
      </x:c>
      <x:c r="N37" s="23" t="str">
        <x:v>peeringdb:1983</x:v>
      </x:c>
      <x:c r="O37" s="88"/>
      <x:c r="P37" s="77" t="b">
        <x:v>0</x:v>
      </x:c>
      <x:c r="Q37" s="17" t="str">
        <x:v>operational</x:v>
      </x:c>
      <x:c r="R37" s="17" t="str">
        <x:v>operational</x:v>
      </x:c>
      <x:c r="S37" s="77" t="b">
        <x:v>0</x:v>
      </x:c>
      <x:c r="T37" s="17" t="str">
        <x:v>interconnection_facility</x:v>
      </x:c>
      <x:c r="U37" s="17" t="str">
        <x:v>interconnection_facility</x:v>
      </x:c>
      <x:c r="V37" s="17" t="str">
        <x:v>core_data_center</x:v>
      </x:c>
      <x:c r="W37" s="91"/>
      <x:c r="X37" s="91"/>
      <x:c r="Y37" s="91"/>
      <x:c r="Z37" s="35"/>
      <x:c r="AA37" s="17" t="str">
        <x:v>peeringdb | wsmv</x:v>
      </x:c>
      <x:c r="AB37" s="94" t="n">
        <x:v>2</x:v>
      </x:c>
      <x:c r="AC37" s="94" t="n">
        <x:v>2</x:v>
      </x:c>
      <x:c r="AD37" s="23" t="str">
        <x:v>peeringdb:1983 | wsmv:nashville-list-9th</x:v>
      </x:c>
      <x:c r="AE37" s="17" t="str">
        <x:v>http://www.level3.net | https://www.wsmv.com/2026/06/04/how-many-data-centers-are-there-nashville-heres-map-where-theyre-located/</x:v>
      </x:c>
      <x:c r="AF37" s="18" t="str">
        <x:v>2026-09-03</x:v>
      </x:c>
      <x:c r="AG37" s="85" t="str">
        <x:v>confirmed</x:v>
      </x:c>
      <x:c r="AH37" s="85" t="str">
        <x:v>identified</x:v>
      </x:c>
      <x:c r="AI37" s="96" t="n">
        <x:v>2</x:v>
      </x:c>
      <x:c r="AJ37" s="86" t="b">
        <x:v>1</x:v>
      </x:c>
      <x:c r="AK37" s="96" t="n">
        <x:v>91</x:v>
      </x:c>
      <x:c r="AL37" s="85" t="str">
        <x:v>high</x:v>
      </x:c>
      <x:c r="AM37" s="85" t="str">
        <x:v>Cross-verified facility record; unresolved values remain null rather than inferred.</x:v>
      </x:c>
      <x:c r="AN37" s="85" t="str">
        <x:v>1.1</x:v>
      </x:c>
      <x:c r="AO37" s="85" t="str">
        <x:v>2026-09-03</x:v>
      </x:c>
    </x:row>
    <x:row r="38" ht="30" hidden="0" customHeight="1">
      <x:c r="A38" s="16" t="str">
        <x:v>TNDC-037</x:v>
      </x:c>
      <x:c r="B38" s="23" t="str">
        <x:v>Level(3) Nashville (Sidco Drive)</x:v>
      </x:c>
      <x:c r="C38" s="23" t="str">
        <x:v>Lumen Technologies Inc</x:v>
      </x:c>
      <x:c r="D38" s="23" t="str">
        <x:v>Lumen Technologies Inc</x:v>
      </x:c>
      <x:c r="E38" s="23" t="str">
        <x:v>2992 Sidco Drive</x:v>
      </x:c>
      <x:c r="F38" s="17" t="str">
        <x:v>Nashville</x:v>
      </x:c>
      <x:c r="G38" s="26" t="str">
        <x:v>Davidson</x:v>
      </x:c>
      <x:c r="H38" s="17" t="str">
        <x:v>TN</x:v>
      </x:c>
      <x:c r="I38" s="17" t="str">
        <x:v>37201</x:v>
      </x:c>
      <x:c r="J38" s="29" t="n">
        <x:v>36.102726</x:v>
      </x:c>
      <x:c r="K38" s="29" t="n">
        <x:v>-86.755786</x:v>
      </x:c>
      <x:c r="L38" s="17" t="str">
        <x:v>address_or_site</x:v>
      </x:c>
      <x:c r="M38" s="17" t="str">
        <x:v>high</x:v>
      </x:c>
      <x:c r="N38" s="23" t="str">
        <x:v>peeringdb:311</x:v>
      </x:c>
      <x:c r="O38" s="88"/>
      <x:c r="P38" s="77" t="b">
        <x:v>0</x:v>
      </x:c>
      <x:c r="Q38" s="17" t="str">
        <x:v>operational</x:v>
      </x:c>
      <x:c r="R38" s="17" t="str">
        <x:v>operational</x:v>
      </x:c>
      <x:c r="S38" s="77" t="b">
        <x:v>0</x:v>
      </x:c>
      <x:c r="T38" s="17" t="str">
        <x:v>interconnection_facility</x:v>
      </x:c>
      <x:c r="U38" s="17" t="str">
        <x:v>interconnection_facility</x:v>
      </x:c>
      <x:c r="V38" s="17" t="str">
        <x:v>core_data_center</x:v>
      </x:c>
      <x:c r="W38" s="91"/>
      <x:c r="X38" s="91"/>
      <x:c r="Y38" s="91"/>
      <x:c r="Z38" s="35"/>
      <x:c r="AA38" s="17" t="str">
        <x:v>peeringdb | wsmv</x:v>
      </x:c>
      <x:c r="AB38" s="94" t="n">
        <x:v>2</x:v>
      </x:c>
      <x:c r="AC38" s="94" t="n">
        <x:v>2</x:v>
      </x:c>
      <x:c r="AD38" s="23" t="str">
        <x:v>peeringdb:311 | wsmv:nashville-list-sidco</x:v>
      </x:c>
      <x:c r="AE38" s="17" t="str">
        <x:v>http://www.level3.com | https://www.wsmv.com/2026/06/04/how-many-data-centers-are-there-nashville-heres-map-where-theyre-located/</x:v>
      </x:c>
      <x:c r="AF38" s="18" t="str">
        <x:v>2026-09-03</x:v>
      </x:c>
      <x:c r="AG38" s="85" t="str">
        <x:v>confirmed</x:v>
      </x:c>
      <x:c r="AH38" s="85" t="str">
        <x:v>identified</x:v>
      </x:c>
      <x:c r="AI38" s="96" t="n">
        <x:v>2</x:v>
      </x:c>
      <x:c r="AJ38" s="86" t="b">
        <x:v>1</x:v>
      </x:c>
      <x:c r="AK38" s="96" t="n">
        <x:v>91</x:v>
      </x:c>
      <x:c r="AL38" s="85" t="str">
        <x:v>high</x:v>
      </x:c>
      <x:c r="AM38" s="85" t="str">
        <x:v>Address discrepancy: existing record uses 2992 Sidco Drive; independent confirmed list reports 2990 Sidco Drive. Review before parcel join.</x:v>
      </x:c>
      <x:c r="AN38" s="85" t="str">
        <x:v>1.1</x:v>
      </x:c>
      <x:c r="AO38" s="85" t="str">
        <x:v>2026-09-03</x:v>
      </x:c>
    </x:row>
    <x:row r="39" ht="30" hidden="0" customHeight="1">
      <x:c r="A39" s="16" t="str">
        <x:v>TNDC-038</x:v>
      </x:c>
      <x:c r="B39" s="23" t="str">
        <x:v>Peace Communications NSH2</x:v>
      </x:c>
      <x:c r="C39" s="23" t="str">
        <x:v>Scipio Technologies</x:v>
      </x:c>
      <x:c r="D39" s="23" t="str">
        <x:v>Nexus Group | Peace Communications | Scipio Technologies</x:v>
      </x:c>
      <x:c r="E39" s="23" t="str">
        <x:v>1661 Murfreesboro Pike</x:v>
      </x:c>
      <x:c r="F39" s="17" t="str">
        <x:v>Nashville</x:v>
      </x:c>
      <x:c r="G39" s="26" t="str">
        <x:v>Davidson</x:v>
      </x:c>
      <x:c r="H39" s="17" t="str">
        <x:v>TN</x:v>
      </x:c>
      <x:c r="I39" s="17" t="str">
        <x:v>37217</x:v>
      </x:c>
      <x:c r="J39" s="29" t="n">
        <x:v>36.103326</x:v>
      </x:c>
      <x:c r="K39" s="29" t="n">
        <x:v>-86.668932</x:v>
      </x:c>
      <x:c r="L39" s="17" t="str">
        <x:v>address_or_site</x:v>
      </x:c>
      <x:c r="M39" s="17" t="str">
        <x:v>high</x:v>
      </x:c>
      <x:c r="N39" s="23" t="str">
        <x:v>peeringdb:5483</x:v>
      </x:c>
      <x:c r="O39" s="88"/>
      <x:c r="P39" s="77" t="b">
        <x:v>0</x:v>
      </x:c>
      <x:c r="Q39" s="17" t="str">
        <x:v>operational</x:v>
      </x:c>
      <x:c r="R39" s="17" t="str">
        <x:v>operational</x:v>
      </x:c>
      <x:c r="S39" s="77" t="b">
        <x:v>0</x:v>
      </x:c>
      <x:c r="T39" s="17" t="str">
        <x:v>interconnection_facility</x:v>
      </x:c>
      <x:c r="U39" s="17" t="str">
        <x:v>interconnection_facility</x:v>
      </x:c>
      <x:c r="V39" s="17" t="str">
        <x:v>core_data_center</x:v>
      </x:c>
      <x:c r="W39" s="91"/>
      <x:c r="X39" s="91"/>
      <x:c r="Y39" s="91"/>
      <x:c r="Z39" s="35"/>
      <x:c r="AA39" s="17" t="str">
        <x:v>peeringdb | scipio_official</x:v>
      </x:c>
      <x:c r="AB39" s="94" t="n">
        <x:v>2</x:v>
      </x:c>
      <x:c r="AC39" s="94" t="n">
        <x:v>2</x:v>
      </x:c>
      <x:c r="AD39" s="23" t="str">
        <x:v>peeringdb:5483 | scipio:nashville</x:v>
      </x:c>
      <x:c r="AE39" s="17" t="str">
        <x:v>http://nxs.net/nashville-data-center/ | https://scipiotech.com/support/</x:v>
      </x:c>
      <x:c r="AF39" s="18" t="str">
        <x:v>2026-09-03</x:v>
      </x:c>
      <x:c r="AG39" s="85" t="str">
        <x:v>confirmed</x:v>
      </x:c>
      <x:c r="AH39" s="85" t="str">
        <x:v>identified</x:v>
      </x:c>
      <x:c r="AI39" s="96" t="n">
        <x:v>2</x:v>
      </x:c>
      <x:c r="AJ39" s="86" t="b">
        <x:v>1</x:v>
      </x:c>
      <x:c r="AK39" s="96" t="n">
        <x:v>91</x:v>
      </x:c>
      <x:c r="AL39" s="85" t="str">
        <x:v>high</x:v>
      </x:c>
      <x:c r="AM39" s="85" t="str">
        <x:v>Peace Communications rebranded as Scipio Technologies in 2024; current operator normalized while legacy names are preserved.</x:v>
      </x:c>
      <x:c r="AN39" s="85" t="str">
        <x:v>1.1</x:v>
      </x:c>
      <x:c r="AO39" s="85" t="str">
        <x:v>2026-09-03</x:v>
      </x:c>
    </x:row>
    <x:row r="40" ht="30" hidden="0" customHeight="1">
      <x:c r="A40" s="16" t="str">
        <x:v>TNDC-039</x:v>
      </x:c>
      <x:c r="B40" s="23" t="str">
        <x:v>Quantum Leap Data Center/ Fisk University</x:v>
      </x:c>
      <x:c r="C40" s="23"/>
      <x:c r="D40" s="23"/>
      <x:c r="E40" s="23" t="str">
        <x:v>1000 17th Ave N</x:v>
      </x:c>
      <x:c r="F40" s="17" t="str">
        <x:v>Nashville</x:v>
      </x:c>
      <x:c r="G40" s="26" t="str">
        <x:v>Davidson</x:v>
      </x:c>
      <x:c r="H40" s="17" t="str">
        <x:v>TN</x:v>
      </x:c>
      <x:c r="I40" s="17" t="str">
        <x:v>37208</x:v>
      </x:c>
      <x:c r="J40" s="29" t="n">
        <x:v>36.168316</x:v>
      </x:c>
      <x:c r="K40" s="29" t="n">
        <x:v>-86.805565</x:v>
      </x:c>
      <x:c r="L40" s="17" t="str">
        <x:v>approximate_site</x:v>
      </x:c>
      <x:c r="M40" s="17" t="str">
        <x:v>medium</x:v>
      </x:c>
      <x:c r="N40" s="23" t="str">
        <x:v>fractracker:1779304944409-7202</x:v>
      </x:c>
      <x:c r="O40" s="88"/>
      <x:c r="P40" s="77" t="b">
        <x:v>0</x:v>
      </x:c>
      <x:c r="Q40" s="17" t="str">
        <x:v>proposed</x:v>
      </x:c>
      <x:c r="R40" s="17" t="str">
        <x:v>proposed</x:v>
      </x:c>
      <x:c r="S40" s="77" t="b">
        <x:v>0</x:v>
      </x:c>
      <x:c r="T40" s="17" t="str">
        <x:v>data_center</x:v>
      </x:c>
      <x:c r="U40" s="17" t="str">
        <x:v>data_center</x:v>
      </x:c>
      <x:c r="V40" s="17" t="str">
        <x:v>core_data_center</x:v>
      </x:c>
      <x:c r="W40" s="91" t="n">
        <x:v>30</x:v>
      </x:c>
      <x:c r="X40" s="91" t="n">
        <x:v>70000</x:v>
      </x:c>
      <x:c r="Y40" s="91"/>
      <x:c r="Z40" s="35" t="n">
        <x:v>400000000</x:v>
      </x:c>
      <x:c r="AA40" s="17" t="str">
        <x:v>fractracker | fisk_official</x:v>
      </x:c>
      <x:c r="AB40" s="94" t="n">
        <x:v>2</x:v>
      </x:c>
      <x:c r="AC40" s="94" t="n">
        <x:v>2</x:v>
      </x:c>
      <x:c r="AD40" s="23" t="str">
        <x:v>fractracker:1779304944409-7202 | fisk:quantum-leap</x:v>
      </x:c>
      <x:c r="AE40" s="17" t="str">
        <x:v>https://www.datacenterdynamics.com/en/news/fisk-university-looks-to-build-data-center-in-nashville-tennessee/ | https://www.fisk.edu/quantumleap/ | https://www.fisk.edu/main-featured/fisk-university-unveils-1-billion-master-plan-launching-new-era-of-innovation-and-sustainability/</x:v>
      </x:c>
      <x:c r="AF40" s="18" t="str">
        <x:v>2026-09-03</x:v>
      </x:c>
      <x:c r="AG40" s="85" t="str">
        <x:v>confirmed</x:v>
      </x:c>
      <x:c r="AH40" s="85" t="str">
        <x:v>partner_not_selected_publicly</x:v>
      </x:c>
      <x:c r="AI40" s="96" t="n">
        <x:v>2</x:v>
      </x:c>
      <x:c r="AJ40" s="86" t="b">
        <x:v>1</x:v>
      </x:c>
      <x:c r="AK40" s="96" t="n">
        <x:v>81</x:v>
      </x:c>
      <x:c r="AL40" s="85" t="str">
        <x:v>high</x:v>
      </x:c>
      <x:c r="AM40" s="85" t="str">
        <x:v>Fisk confirms Quantum Leap/Innovation &amp; Technology Center; operating data-center partner is not publicly identified. Operator remains null.</x:v>
      </x:c>
      <x:c r="AN40" s="85" t="str">
        <x:v>1.1</x:v>
      </x:c>
      <x:c r="AO40" s="85" t="str">
        <x:v>2026-09-03</x:v>
      </x:c>
    </x:row>
    <x:row r="41" ht="30" hidden="0" customHeight="1">
      <x:c r="A41" s="16" t="str">
        <x:v>TNDC-040</x:v>
      </x:c>
      <x:c r="B41" s="23" t="str">
        <x:v>RadiusDC Nashville I</x:v>
      </x:c>
      <x:c r="C41" s="23" t="str">
        <x:v>RadiusDC</x:v>
      </x:c>
      <x:c r="D41" s="23" t="str">
        <x:v>RadiusDC</x:v>
      </x:c>
      <x:c r="E41" s="23" t="str">
        <x:v>2902 Brick Church Pike</x:v>
      </x:c>
      <x:c r="F41" s="17" t="str">
        <x:v>Nashville</x:v>
      </x:c>
      <x:c r="G41" s="26" t="str">
        <x:v>Davidson</x:v>
      </x:c>
      <x:c r="H41" s="17" t="str">
        <x:v>TN</x:v>
      </x:c>
      <x:c r="I41" s="17" t="str">
        <x:v>37207</x:v>
      </x:c>
      <x:c r="J41" s="29" t="n">
        <x:v>36.27987</x:v>
      </x:c>
      <x:c r="K41" s="29" t="n">
        <x:v>-86.7837</x:v>
      </x:c>
      <x:c r="L41" s="17" t="str">
        <x:v>approximate</x:v>
      </x:c>
      <x:c r="M41" s="17" t="str">
        <x:v>medium</x:v>
      </x:c>
      <x:c r="N41" s="23" t="str">
        <x:v>compute_atlas:radiusdc-nashville-i-tn</x:v>
      </x:c>
      <x:c r="O41" s="88"/>
      <x:c r="P41" s="77" t="b">
        <x:v>0</x:v>
      </x:c>
      <x:c r="Q41" s="17" t="str">
        <x:v>under_construction</x:v>
      </x:c>
      <x:c r="R41" s="17" t="str">
        <x:v>under_construction</x:v>
      </x:c>
      <x:c r="S41" s="77" t="b">
        <x:v>0</x:v>
      </x:c>
      <x:c r="T41" s="17" t="str">
        <x:v>data_center</x:v>
      </x:c>
      <x:c r="U41" s="17" t="str">
        <x:v>data_center</x:v>
      </x:c>
      <x:c r="V41" s="17" t="str">
        <x:v>core_data_center</x:v>
      </x:c>
      <x:c r="W41" s="91"/>
      <x:c r="X41" s="91"/>
      <x:c r="Y41" s="91" t="n">
        <x:v>12</x:v>
      </x:c>
      <x:c r="Z41" s="35"/>
      <x:c r="AA41" s="17" t="str">
        <x:v>compute_atlas | radiusdc_official</x:v>
      </x:c>
      <x:c r="AB41" s="94" t="n">
        <x:v>2</x:v>
      </x:c>
      <x:c r="AC41" s="94" t="n">
        <x:v>2</x:v>
      </x:c>
      <x:c r="AD41" s="23" t="str">
        <x:v>compute_atlas:radiusdc-nashville-i-tn | radiusdc:nashville1-groundbreaking</x:v>
      </x:c>
      <x:c r="AE41" s="17" t="str">
        <x:v>https://www.radius-dc.com/newsroom-and-events/radiusdc-breaks-ground-on-largest-data-center-in-nashville | https://www.yahoo.com/news/us/articles/guide-data-centers-tennessee-could-081728521.html | https://www.datacentermap.com/usa/tennessee/nashville/radiusdc-nashville-i/</x:v>
      </x:c>
      <x:c r="AF41" s="18" t="str">
        <x:v>2026-09-03</x:v>
      </x:c>
      <x:c r="AG41" s="85" t="str">
        <x:v>confirmed</x:v>
      </x:c>
      <x:c r="AH41" s="85" t="str">
        <x:v>identified</x:v>
      </x:c>
      <x:c r="AI41" s="96" t="n">
        <x:v>3</x:v>
      </x:c>
      <x:c r="AJ41" s="86" t="b">
        <x:v>1</x:v>
      </x:c>
      <x:c r="AK41" s="96" t="n">
        <x:v>82</x:v>
      </x:c>
      <x:c r="AL41" s="85" t="str">
        <x:v>high</x:v>
      </x:c>
      <x:c r="AM41" s="85" t="str">
        <x:v>Address independently confirmed; current coordinate remains approximate rather than replaced with a fabricated geocode.</x:v>
      </x:c>
      <x:c r="AN41" s="85" t="str">
        <x:v>1.1</x:v>
      </x:c>
      <x:c r="AO41" s="85" t="str">
        <x:v>2026-09-03</x:v>
      </x:c>
    </x:row>
    <x:row r="42" ht="30" hidden="0" customHeight="1">
      <x:c r="A42" s="16" t="str">
        <x:v>TNDC-041</x:v>
      </x:c>
      <x:c r="B42" s="23" t="str">
        <x:v>XO Nashville</x:v>
      </x:c>
      <x:c r="C42" s="23" t="str">
        <x:v>XO</x:v>
      </x:c>
      <x:c r="D42" s="23" t="str">
        <x:v>XO | Verizon</x:v>
      </x:c>
      <x:c r="E42" s="23" t="str">
        <x:v>101 Molloy Street</x:v>
      </x:c>
      <x:c r="F42" s="17" t="str">
        <x:v>Nashville</x:v>
      </x:c>
      <x:c r="G42" s="26" t="str">
        <x:v>Davidson</x:v>
      </x:c>
      <x:c r="H42" s="17" t="str">
        <x:v>TN</x:v>
      </x:c>
      <x:c r="I42" s="17" t="str">
        <x:v>37201</x:v>
      </x:c>
      <x:c r="J42" s="29" t="n">
        <x:v>36.158837</x:v>
      </x:c>
      <x:c r="K42" s="29" t="n">
        <x:v>-86.772516</x:v>
      </x:c>
      <x:c r="L42" s="17" t="str">
        <x:v>address_or_site</x:v>
      </x:c>
      <x:c r="M42" s="17" t="str">
        <x:v>high</x:v>
      </x:c>
      <x:c r="N42" s="23" t="str">
        <x:v>peeringdb:368</x:v>
      </x:c>
      <x:c r="O42" s="88"/>
      <x:c r="P42" s="77" t="b">
        <x:v>0</x:v>
      </x:c>
      <x:c r="Q42" s="17" t="str">
        <x:v>operational</x:v>
      </x:c>
      <x:c r="R42" s="17" t="str">
        <x:v>operational</x:v>
      </x:c>
      <x:c r="S42" s="77" t="b">
        <x:v>0</x:v>
      </x:c>
      <x:c r="T42" s="17" t="str">
        <x:v>interconnection_facility</x:v>
      </x:c>
      <x:c r="U42" s="17" t="str">
        <x:v>interconnection_facility</x:v>
      </x:c>
      <x:c r="V42" s="17" t="str">
        <x:v>core_data_center</x:v>
      </x:c>
      <x:c r="W42" s="91"/>
      <x:c r="X42" s="91"/>
      <x:c r="Y42" s="91"/>
      <x:c r="Z42" s="35"/>
      <x:c r="AA42" s="17" t="str">
        <x:v>peeringdb | datacenterjournal</x:v>
      </x:c>
      <x:c r="AB42" s="94" t="n">
        <x:v>2</x:v>
      </x:c>
      <x:c r="AC42" s="94" t="n">
        <x:v>2</x:v>
      </x:c>
      <x:c r="AD42" s="23" t="str">
        <x:v>peeringdb:368 | dcj:xo-nashville</x:v>
      </x:c>
      <x:c r="AE42" s="17" t="str">
        <x:v>http://www.xo.com | https://www.datacenterjournal.com/data-centers/tennessee/hendersonville/xo-nashville/ | https://www.cbragland.com/portfolio/101-molloy-street</x:v>
      </x:c>
      <x:c r="AF42" s="18" t="str">
        <x:v>2026-09-03</x:v>
      </x:c>
      <x:c r="AG42" s="85" t="str">
        <x:v>confirmed</x:v>
      </x:c>
      <x:c r="AH42" s="85" t="str">
        <x:v>identified</x:v>
      </x:c>
      <x:c r="AI42" s="96" t="n">
        <x:v>3</x:v>
      </x:c>
      <x:c r="AJ42" s="86" t="b">
        <x:v>1</x:v>
      </x:c>
      <x:c r="AK42" s="96" t="n">
        <x:v>98</x:v>
      </x:c>
      <x:c r="AL42" s="85" t="str">
        <x:v>high</x:v>
      </x:c>
      <x:c r="AM42" s="85" t="str">
        <x:v>Cross-verified facility record; unresolved values remain null rather than inferred.</x:v>
      </x:c>
      <x:c r="AN42" s="85" t="str">
        <x:v>1.1</x:v>
      </x:c>
      <x:c r="AO42" s="85" t="str">
        <x:v>2026-09-03</x:v>
      </x:c>
    </x:row>
    <x:row r="43" ht="30" hidden="0" customHeight="1">
      <x:c r="A43" s="16" t="str">
        <x:v>TNDC-042</x:v>
      </x:c>
      <x:c r="B43" s="23" t="str">
        <x:v>Zayo Nashville - 209 10th Ave. S</x:v>
      </x:c>
      <x:c r="C43" s="23" t="str">
        <x:v>DataBank</x:v>
      </x:c>
      <x:c r="D43" s="23" t="str">
        <x:v>Zayo Group | DataBank</x:v>
      </x:c>
      <x:c r="E43" s="23" t="str">
        <x:v>209 10th Ave. S</x:v>
      </x:c>
      <x:c r="F43" s="17" t="str">
        <x:v>Nashville</x:v>
      </x:c>
      <x:c r="G43" s="26" t="str">
        <x:v>Davidson</x:v>
      </x:c>
      <x:c r="H43" s="17" t="str">
        <x:v>TN</x:v>
      </x:c>
      <x:c r="I43" s="17" t="str">
        <x:v>37203</x:v>
      </x:c>
      <x:c r="J43" s="29" t="n">
        <x:v>36.155165</x:v>
      </x:c>
      <x:c r="K43" s="29" t="n">
        <x:v>-86.782559</x:v>
      </x:c>
      <x:c r="L43" s="17" t="str">
        <x:v>address_or_site</x:v>
      </x:c>
      <x:c r="M43" s="17" t="str">
        <x:v>high</x:v>
      </x:c>
      <x:c r="N43" s="23" t="str">
        <x:v>peeringdb:2936</x:v>
      </x:c>
      <x:c r="O43" s="88"/>
      <x:c r="P43" s="77" t="b">
        <x:v>0</x:v>
      </x:c>
      <x:c r="Q43" s="17" t="str">
        <x:v>operational</x:v>
      </x:c>
      <x:c r="R43" s="17" t="str">
        <x:v>operational</x:v>
      </x:c>
      <x:c r="S43" s="77" t="b">
        <x:v>0</x:v>
      </x:c>
      <x:c r="T43" s="17" t="str">
        <x:v>interconnection_facility</x:v>
      </x:c>
      <x:c r="U43" s="17" t="str">
        <x:v>interconnection_facility</x:v>
      </x:c>
      <x:c r="V43" s="17" t="str">
        <x:v>core_data_center</x:v>
      </x:c>
      <x:c r="W43" s="91"/>
      <x:c r="X43" s="91"/>
      <x:c r="Y43" s="91"/>
      <x:c r="Z43" s="35"/>
      <x:c r="AA43" s="17" t="str">
        <x:v>peeringdb | datacentermap</x:v>
      </x:c>
      <x:c r="AB43" s="94" t="n">
        <x:v>2</x:v>
      </x:c>
      <x:c r="AC43" s="94" t="n">
        <x:v>2</x:v>
      </x:c>
      <x:c r="AD43" s="23" t="str">
        <x:v>peeringdb:2936 | datacentermap:databank-209-10th</x:v>
      </x:c>
      <x:c r="AE43" s="17" t="str">
        <x:v>http://www.databank.com | https://www.datacentermap.com/usa/tennessee/nashville/zcolo-209-10th-ave-south/ | https://www.nashville.gov/sites/default/files/2026-02/1020705__Provision_of_Telecommunication_Services__Zayo_Group.pdf?ct=1770928123</x:v>
      </x:c>
      <x:c r="AF43" s="18" t="str">
        <x:v>2026-09-03</x:v>
      </x:c>
      <x:c r="AG43" s="85" t="str">
        <x:v>confirmed</x:v>
      </x:c>
      <x:c r="AH43" s="85" t="str">
        <x:v>identified</x:v>
      </x:c>
      <x:c r="AI43" s="96" t="n">
        <x:v>3</x:v>
      </x:c>
      <x:c r="AJ43" s="86" t="b">
        <x:v>1</x:v>
      </x:c>
      <x:c r="AK43" s="96" t="n">
        <x:v>98</x:v>
      </x:c>
      <x:c r="AL43" s="85" t="str">
        <x:v>high</x:v>
      </x:c>
      <x:c r="AM43" s="85" t="str">
        <x:v>DataBank acquired Zayo/zColo data-center assets in 2020; operator normalized to DataBank and Zayo history retained.</x:v>
      </x:c>
      <x:c r="AN43" s="85" t="str">
        <x:v>1.1</x:v>
      </x:c>
      <x:c r="AO43" s="85" t="str">
        <x:v>2026-09-03</x:v>
      </x:c>
    </x:row>
    <x:row r="44" ht="30" hidden="0" customHeight="1">
      <x:c r="A44" s="16" t="str">
        <x:v>TNDC-043</x:v>
      </x:c>
      <x:c r="B44" s="23" t="str">
        <x:v>CleanSpark New Tazewell Bitcoin Mining Facility</x:v>
      </x:c>
      <x:c r="C44" s="23" t="str">
        <x:v>CleanSpark, Inc.</x:v>
      </x:c>
      <x:c r="D44" s="23" t="str">
        <x:v>CleanSpark, Inc.</x:v>
      </x:c>
      <x:c r="E44" s="23"/>
      <x:c r="F44" s="17" t="str">
        <x:v>New Tazewell</x:v>
      </x:c>
      <x:c r="G44" s="26" t="str">
        <x:v>Claiborne</x:v>
      </x:c>
      <x:c r="H44" s="17" t="str">
        <x:v>TN</x:v>
      </x:c>
      <x:c r="I44" s="17"/>
      <x:c r="J44" s="29" t="n">
        <x:v>36.4426</x:v>
      </x:c>
      <x:c r="K44" s="29" t="n">
        <x:v>-83.5996</x:v>
      </x:c>
      <x:c r="L44" s="17" t="str">
        <x:v>approximate</x:v>
      </x:c>
      <x:c r="M44" s="17" t="str">
        <x:v>medium</x:v>
      </x:c>
      <x:c r="N44" s="23" t="str">
        <x:v>compute_atlas:cleanspark-new-tazewell-tn</x:v>
      </x:c>
      <x:c r="O44" s="88"/>
      <x:c r="P44" s="77" t="b">
        <x:v>0</x:v>
      </x:c>
      <x:c r="Q44" s="17" t="str">
        <x:v>operational</x:v>
      </x:c>
      <x:c r="R44" s="17" t="str">
        <x:v>operational</x:v>
      </x:c>
      <x:c r="S44" s="77" t="b">
        <x:v>0</x:v>
      </x:c>
      <x:c r="T44" s="17" t="str">
        <x:v>crypto_mining</x:v>
      </x:c>
      <x:c r="U44" s="17" t="str">
        <x:v>crypto_mining</x:v>
      </x:c>
      <x:c r="V44" s="17" t="str">
        <x:v>crypto_mining</x:v>
      </x:c>
      <x:c r="W44" s="91"/>
      <x:c r="X44" s="91"/>
      <x:c r="Y44" s="91"/>
      <x:c r="Z44" s="35"/>
      <x:c r="AA44" s="17" t="str">
        <x:v>compute_atlas</x:v>
      </x:c>
      <x:c r="AB44" s="94" t="n">
        <x:v>1</x:v>
      </x:c>
      <x:c r="AC44" s="94" t="n">
        <x:v>1</x:v>
      </x:c>
      <x:c r="AD44" s="23" t="str">
        <x:v>compute_atlas:cleanspark-new-tazewell-tn</x:v>
      </x:c>
      <x:c r="AE44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F44" s="18" t="str">
        <x:v>2026-08-05</x:v>
      </x:c>
      <x:c r="AG44" s="85" t="str">
        <x:v>confirmed</x:v>
      </x:c>
      <x:c r="AH44" s="85" t="str">
        <x:v>identified</x:v>
      </x:c>
      <x:c r="AI44" s="96" t="n">
        <x:v>2</x:v>
      </x:c>
      <x:c r="AJ44" s="86" t="b">
        <x:v>1</x:v>
      </x:c>
      <x:c r="AK44" s="96" t="n">
        <x:v>70</x:v>
      </x:c>
      <x:c r="AL44" s="85" t="str">
        <x:v>medium</x:v>
      </x:c>
      <x:c r="AM44" s="85" t="str">
        <x:v>Cross-verified facility record; unresolved values remain null rather than inferred.</x:v>
      </x:c>
      <x:c r="AN44" s="85" t="str">
        <x:v>1.1</x:v>
      </x:c>
      <x:c r="AO44" s="85" t="str">
        <x:v>2026-09-03</x:v>
      </x:c>
    </x:row>
    <x:row r="45" ht="30" hidden="0" customHeight="1">
      <x:c r="A45" s="16" t="str">
        <x:v>TNDC-044</x:v>
      </x:c>
      <x:c r="B45" s="23" t="str">
        <x:v>CleanSpark Oneida Bitcoin Mining Facility</x:v>
      </x:c>
      <x:c r="C45" s="23" t="str">
        <x:v>CleanSpark, Inc.</x:v>
      </x:c>
      <x:c r="D45" s="23" t="str">
        <x:v>CleanSpark, Inc.</x:v>
      </x:c>
      <x:c r="E45" s="23"/>
      <x:c r="F45" s="17" t="str">
        <x:v>Oneida</x:v>
      </x:c>
      <x:c r="G45" s="26" t="str">
        <x:v>Scott</x:v>
      </x:c>
      <x:c r="H45" s="17" t="str">
        <x:v>TN</x:v>
      </x:c>
      <x:c r="I45" s="17"/>
      <x:c r="J45" s="29" t="n">
        <x:v>36.4981</x:v>
      </x:c>
      <x:c r="K45" s="29" t="n">
        <x:v>-84.5127</x:v>
      </x:c>
      <x:c r="L45" s="17" t="str">
        <x:v>approximate</x:v>
      </x:c>
      <x:c r="M45" s="17" t="str">
        <x:v>medium</x:v>
      </x:c>
      <x:c r="N45" s="23" t="str">
        <x:v>compute_atlas:cleanspark-oneida-tn</x:v>
      </x:c>
      <x:c r="O45" s="88"/>
      <x:c r="P45" s="77" t="b">
        <x:v>0</x:v>
      </x:c>
      <x:c r="Q45" s="17" t="str">
        <x:v>operational</x:v>
      </x:c>
      <x:c r="R45" s="17" t="str">
        <x:v>operational</x:v>
      </x:c>
      <x:c r="S45" s="77" t="b">
        <x:v>0</x:v>
      </x:c>
      <x:c r="T45" s="17" t="str">
        <x:v>crypto_mining</x:v>
      </x:c>
      <x:c r="U45" s="17" t="str">
        <x:v>crypto_mining</x:v>
      </x:c>
      <x:c r="V45" s="17" t="str">
        <x:v>crypto_mining</x:v>
      </x:c>
      <x:c r="W45" s="91"/>
      <x:c r="X45" s="91"/>
      <x:c r="Y45" s="91"/>
      <x:c r="Z45" s="35"/>
      <x:c r="AA45" s="17" t="str">
        <x:v>compute_atlas</x:v>
      </x:c>
      <x:c r="AB45" s="94" t="n">
        <x:v>1</x:v>
      </x:c>
      <x:c r="AC45" s="94" t="n">
        <x:v>1</x:v>
      </x:c>
      <x:c r="AD45" s="23" t="str">
        <x:v>compute_atlas:cleanspark-oneida-tn</x:v>
      </x:c>
      <x:c r="AE45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F45" s="18" t="str">
        <x:v>2026-08-05</x:v>
      </x:c>
      <x:c r="AG45" s="85" t="str">
        <x:v>confirmed</x:v>
      </x:c>
      <x:c r="AH45" s="85" t="str">
        <x:v>identified</x:v>
      </x:c>
      <x:c r="AI45" s="96" t="n">
        <x:v>2</x:v>
      </x:c>
      <x:c r="AJ45" s="86" t="b">
        <x:v>1</x:v>
      </x:c>
      <x:c r="AK45" s="96" t="n">
        <x:v>70</x:v>
      </x:c>
      <x:c r="AL45" s="85" t="str">
        <x:v>medium</x:v>
      </x:c>
      <x:c r="AM45" s="85" t="str">
        <x:v>Cross-verified facility record; unresolved values remain null rather than inferred.</x:v>
      </x:c>
      <x:c r="AN45" s="85" t="str">
        <x:v>1.1</x:v>
      </x:c>
      <x:c r="AO45" s="85" t="str">
        <x:v>2026-09-03</x:v>
      </x:c>
    </x:row>
    <x:row r="46" ht="30" hidden="0" customHeight="1">
      <x:c r="A46" s="19" t="str">
        <x:v>TNDC-045</x:v>
      </x:c>
      <x:c r="B46" s="24" t="str">
        <x:v>CleanSpark Winfield Bitcoin Mining Facility</x:v>
      </x:c>
      <x:c r="C46" s="24" t="str">
        <x:v>CleanSpark, Inc.</x:v>
      </x:c>
      <x:c r="D46" s="24" t="str">
        <x:v>CleanSpark, Inc.</x:v>
      </x:c>
      <x:c r="E46" s="24"/>
      <x:c r="F46" s="20" t="str">
        <x:v>Winfield</x:v>
      </x:c>
      <x:c r="G46" s="27" t="str">
        <x:v>Scott</x:v>
      </x:c>
      <x:c r="H46" s="20" t="str">
        <x:v>TN</x:v>
      </x:c>
      <x:c r="I46" s="20"/>
      <x:c r="J46" s="30" t="n">
        <x:v>36.5619</x:v>
      </x:c>
      <x:c r="K46" s="30" t="n">
        <x:v>-84.4506</x:v>
      </x:c>
      <x:c r="L46" s="20" t="str">
        <x:v>approximate</x:v>
      </x:c>
      <x:c r="M46" s="20" t="str">
        <x:v>medium</x:v>
      </x:c>
      <x:c r="N46" s="24" t="str">
        <x:v>compute_atlas:cleanspark-winfield-tn</x:v>
      </x:c>
      <x:c r="O46" s="89"/>
      <x:c r="P46" s="78" t="b">
        <x:v>0</x:v>
      </x:c>
      <x:c r="Q46" s="20" t="str">
        <x:v>operational</x:v>
      </x:c>
      <x:c r="R46" s="20" t="str">
        <x:v>operational</x:v>
      </x:c>
      <x:c r="S46" s="78" t="b">
        <x:v>0</x:v>
      </x:c>
      <x:c r="T46" s="20" t="str">
        <x:v>crypto_mining</x:v>
      </x:c>
      <x:c r="U46" s="20" t="str">
        <x:v>crypto_mining</x:v>
      </x:c>
      <x:c r="V46" s="20" t="str">
        <x:v>crypto_mining</x:v>
      </x:c>
      <x:c r="W46" s="92"/>
      <x:c r="X46" s="92"/>
      <x:c r="Y46" s="92"/>
      <x:c r="Z46" s="36"/>
      <x:c r="AA46" s="20" t="str">
        <x:v>compute_atlas</x:v>
      </x:c>
      <x:c r="AB46" s="95" t="n">
        <x:v>1</x:v>
      </x:c>
      <x:c r="AC46" s="95" t="n">
        <x:v>1</x:v>
      </x:c>
      <x:c r="AD46" s="24" t="str">
        <x:v>compute_atlas:cleanspark-winfield-tn</x:v>
      </x:c>
      <x:c r="AE46" s="20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F46" s="21" t="str">
        <x:v>2026-08-05</x:v>
      </x:c>
      <x:c r="AG46" s="85" t="str">
        <x:v>confirmed</x:v>
      </x:c>
      <x:c r="AH46" s="85" t="str">
        <x:v>identified</x:v>
      </x:c>
      <x:c r="AI46" s="96" t="n">
        <x:v>2</x:v>
      </x:c>
      <x:c r="AJ46" s="86" t="b">
        <x:v>1</x:v>
      </x:c>
      <x:c r="AK46" s="96" t="n">
        <x:v>70</x:v>
      </x:c>
      <x:c r="AL46" s="85" t="str">
        <x:v>medium</x:v>
      </x:c>
      <x:c r="AM46" s="85" t="str">
        <x:v>Cross-verified facility record; unresolved values remain null rather than inferred.</x:v>
      </x:c>
      <x:c r="AN46" s="85" t="str">
        <x:v>1.1</x:v>
      </x:c>
      <x:c r="AO46" s="85" t="str">
        <x:v>2026-09-03</x:v>
      </x:c>
    </x:row>
  </x:sheetData>
  <x:dataValidations count="17">
    <x:dataValidation type="list" sqref="M2:M1000">
      <x:formula1>"high,medium,low"</x:formula1>
    </x:dataValidation>
    <x:dataValidation type="list" sqref="Q2:Q1000">
      <x:formula1>"operational,under_construction,proposed,expanding,cancelled"</x:formula1>
    </x:dataValidation>
    <x:dataValidation type="list" sqref="AG2:AG1000">
      <x:formula1>"confirmed,candidate,review"</x:formula1>
    </x:dataValidation>
    <x:dataValidation type="list" sqref="AL2:AL1000">
      <x:formula1>"high,medium,low"</x:formula1>
    </x:dataValidation>
    <x:dataValidation type="list" sqref="H2:H2000">
      <x:formula1>"TN"</x:formula1>
    </x:dataValidation>
    <x:dataValidation type="decimal" operator="between" sqref="J2:J2000">
      <x:formula1>-90</x:formula1>
      <x:formula2>90</x:formula2>
    </x:dataValidation>
    <x:dataValidation type="decimal" operator="between" sqref="K2:K2000">
      <x:formula1>-180</x:formula1>
      <x:formula2>180</x:formula2>
    </x:dataValidation>
    <x:dataValidation type="list" sqref="L2:L2000">
      <x:formula1>"exact,address_or_site,approximate_site,approximate,area_or_city"</x:formula1>
    </x:dataValidation>
    <x:dataValidation type="list" sqref="M2:M2000">
      <x:formula1>"high,medium,low"</x:formula1>
    </x:dataValidation>
    <x:dataValidation type="list" sqref="P2:P2000">
      <x:formula1>"true,false"</x:formula1>
    </x:dataValidation>
    <x:dataValidation type="list" sqref="Q2:Q2000">
      <x:formula1>"operational,under_construction,proposed,expanding,cancelled"</x:formula1>
    </x:dataValidation>
    <x:dataValidation type="list" sqref="S2:S2000">
      <x:formula1>"true,false"</x:formula1>
    </x:dataValidation>
    <x:dataValidation type="list" sqref="T2:T2000">
      <x:formula1>"data_center,interconnection_facility,crypto_mining"</x:formula1>
    </x:dataValidation>
    <x:dataValidation type="list" sqref="V2:V2000">
      <x:formula1>"core_data_center,crypto_mining"</x:formula1>
    </x:dataValidation>
    <x:dataValidation type="list" sqref="AG2:AG2000">
      <x:formula1>"confirmed,candidate,review"</x:formula1>
    </x:dataValidation>
    <x:dataValidation type="list" sqref="AJ2:AJ2000">
      <x:formula1>"true,false"</x:formula1>
    </x:dataValidation>
    <x:dataValidation type="list" sqref="AL2:AL2000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376ddd835846a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44" hidden="0" customWidth="1"/>
    <x:col min="3" max="3" width="45" hidden="0" customWidth="1"/>
    <x:col min="4" max="4" width="17" hidden="0" customWidth="1"/>
    <x:col min="5" max="5" width="34" hidden="0" customWidth="1"/>
    <x:col min="6" max="6" width="17" hidden="0" customWidth="1"/>
    <x:col min="7" max="7" width="3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5" hidden="0" customWidth="1"/>
    <x:col min="14" max="14" width="15" hidden="0" customWidth="1"/>
    <x:col min="15" max="15" width="17" hidden="0" customWidth="1"/>
    <x:col min="16" max="16" width="17" hidden="0" customWidth="1"/>
    <x:col min="17" max="17" width="55" hidden="0" customWidth="1"/>
    <x:col min="18" max="18" width="17" hidden="0" customWidth="1"/>
    <x:col min="19" max="19" width="30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  <x:col min="34" max="34" width="22" hidden="0" customWidth="1"/>
    <x:col min="35" max="35" width="22" hidden="0" customWidth="1"/>
    <x:col min="36" max="36" width="60" hidden="0" customWidth="1"/>
    <x:col min="37" max="37" width="60" hidden="0" customWidth="1"/>
    <x:col min="38" max="38" width="60" hidden="0" customWidth="1"/>
    <x:col min="39" max="39" width="55" hidden="0" customWidth="1"/>
    <x:col min="40" max="40" width="17" hidden="0" customWidth="1"/>
    <x:col min="41" max="41" width="17" hidden="0" customWidth="1"/>
    <x:col min="42" max="42" width="34" hidden="0" customWidth="1"/>
    <x:col min="43" max="43" width="30" hidden="0" customWidth="1"/>
    <x:col min="44" max="44" width="30" hidden="0" customWidth="1"/>
  </x:cols>
  <x:sheetData>
    <x:row r="1" ht="32" customHeight="1">
      <x:c r="A1" s="9" t="str">
        <x:v>source</x:v>
      </x:c>
      <x:c r="B1" s="10" t="str">
        <x:v>source_record_id</x:v>
      </x:c>
      <x:c r="C1" s="10" t="str">
        <x:v>facility_name</x:v>
      </x:c>
      <x:c r="D1" s="10" t="str">
        <x:v>aliases</x:v>
      </x:c>
      <x:c r="E1" s="10" t="str">
        <x:v>operator</x:v>
      </x:c>
      <x:c r="F1" s="10" t="str">
        <x:v>tenant</x:v>
      </x:c>
      <x:c r="G1" s="10" t="str">
        <x:v>address</x:v>
      </x:c>
      <x:c r="H1" s="10" t="str">
        <x:v>address2</x:v>
      </x:c>
      <x:c r="I1" s="10" t="str">
        <x:v>city</x:v>
      </x:c>
      <x:c r="J1" s="10" t="str">
        <x:v>county</x:v>
      </x:c>
      <x:c r="K1" s="10" t="str">
        <x:v>state</x:v>
      </x:c>
      <x:c r="L1" s="10" t="str">
        <x:v>postal_code</x:v>
      </x:c>
      <x:c r="M1" s="10" t="str">
        <x:v>latitude</x:v>
      </x:c>
      <x:c r="N1" s="10" t="str">
        <x:v>longitude</x:v>
      </x:c>
      <x:c r="O1" s="10" t="str">
        <x:v>location_precision</x:v>
      </x:c>
      <x:c r="P1" s="10" t="str">
        <x:v>location_confidence</x:v>
      </x:c>
      <x:c r="Q1" s="10" t="str">
        <x:v>location_determination</x:v>
      </x:c>
      <x:c r="R1" s="10" t="str">
        <x:v>status_raw</x:v>
      </x:c>
      <x:c r="S1" s="10" t="str">
        <x:v>status_normalized</x:v>
      </x:c>
      <x:c r="T1" s="10" t="str">
        <x:v>facility_type</x:v>
      </x:c>
      <x:c r="U1" s="10" t="str">
        <x:v>purpose</x:v>
      </x:c>
      <x:c r="V1" s="10" t="str">
        <x:v>capacity_mw</x:v>
      </x:c>
      <x:c r="W1" s="10" t="str">
        <x:v>capacity_mw_low</x:v>
      </x:c>
      <x:c r="X1" s="10" t="str">
        <x:v>capacity_mw_high</x:v>
      </x:c>
      <x:c r="Y1" s="10" t="str">
        <x:v>square_feet</x:v>
      </x:c>
      <x:c r="Z1" s="10" t="str">
        <x:v>property_acres</x:v>
      </x:c>
      <x:c r="AA1" s="10" t="str">
        <x:v>number_buildings</x:v>
      </x:c>
      <x:c r="AB1" s="10" t="str">
        <x:v>number_generators</x:v>
      </x:c>
      <x:c r="AC1" s="10" t="str">
        <x:v>investment_usd</x:v>
      </x:c>
      <x:c r="AD1" s="10" t="str">
        <x:v>power_source</x:v>
      </x:c>
      <x:c r="AE1" s="10" t="str">
        <x:v>cooling_source</x:v>
      </x:c>
      <x:c r="AF1" s="10" t="str">
        <x:v>cooling_type</x:v>
      </x:c>
      <x:c r="AG1" s="10" t="str">
        <x:v>expected_online</x:v>
      </x:c>
      <x:c r="AH1" s="10" t="str">
        <x:v>created_date</x:v>
      </x:c>
      <x:c r="AI1" s="10" t="str">
        <x:v>updated_date</x:v>
      </x:c>
      <x:c r="AJ1" s="10" t="str">
        <x:v>evidence_urls</x:v>
      </x:c>
      <x:c r="AK1" s="10" t="str">
        <x:v>source_dataset_url</x:v>
      </x:c>
      <x:c r="AL1" s="10" t="str">
        <x:v>source_record_url</x:v>
      </x:c>
      <x:c r="AM1" s="10" t="str">
        <x:v>notes</x:v>
      </x:c>
      <x:c r="AN1" s="10" t="str">
        <x:v>scope_category</x:v>
      </x:c>
      <x:c r="AO1" s="10" t="str">
        <x:v>included_in_master</x:v>
      </x:c>
      <x:c r="AP1" s="10" t="str">
        <x:v>operator_normalized</x:v>
      </x:c>
      <x:c r="AQ1" s="10" t="str">
        <x:v>name_normalized</x:v>
      </x:c>
      <x:c r="AR1" s="11" t="str">
        <x:v>address_normalized</x:v>
      </x:c>
    </x:row>
    <x:row r="2" ht="28" hidden="0" customHeight="1">
      <x:c r="A2" s="13" t="str">
        <x:v>peeringdb</x:v>
      </x:c>
      <x:c r="B2" s="22" t="str">
        <x:v>234</x:v>
      </x:c>
      <x:c r="C2" s="22" t="str">
        <x:v>Peace Communications KNX1</x:v>
      </x:c>
      <x:c r="D2" s="14" t="str"/>
      <x:c r="E2" s="22" t="str">
        <x:v>Peace Communications (Formerly Nexus Group)</x:v>
      </x:c>
      <x:c r="F2" s="14" t="str"/>
      <x:c r="G2" s="22" t="str">
        <x:v>500 W. Summit Hill</x:v>
      </x:c>
      <x:c r="H2" s="14" t="str"/>
      <x:c r="I2" s="14" t="str">
        <x:v>Knoxville</x:v>
      </x:c>
      <x:c r="J2" s="25" t="str"/>
      <x:c r="K2" s="14" t="str">
        <x:v>TN</x:v>
      </x:c>
      <x:c r="L2" s="14" t="str">
        <x:v>37902</x:v>
      </x:c>
      <x:c r="M2" s="28" t="str">
        <x:v>35.965586</x:v>
      </x:c>
      <x:c r="N2" s="28" t="str">
        <x:v>-83.921438</x:v>
      </x:c>
      <x:c r="O2" s="14" t="str">
        <x:v>address_or_site</x:v>
      </x:c>
      <x:c r="P2" s="14" t="str"/>
      <x:c r="Q2" s="14" t="str"/>
      <x:c r="R2" s="14" t="str">
        <x:v>ok</x:v>
      </x:c>
      <x:c r="S2" s="14" t="str">
        <x:v>operational</x:v>
      </x:c>
      <x:c r="T2" s="14" t="str">
        <x:v>interconnection_facility</x:v>
      </x:c>
      <x:c r="U2" s="14" t="str"/>
      <x:c r="V2" s="25" t="str"/>
      <x:c r="W2" s="25" t="str"/>
      <x:c r="X2" s="25" t="str"/>
      <x:c r="Y2" s="25" t="str"/>
      <x:c r="Z2" s="14" t="str"/>
      <x:c r="AA2" s="14" t="str"/>
      <x:c r="AB2" s="14" t="str"/>
      <x:c r="AC2" s="34" t="str"/>
      <x:c r="AD2" s="14" t="str"/>
      <x:c r="AE2" s="14" t="str"/>
      <x:c r="AF2" s="14" t="str"/>
      <x:c r="AG2" s="14" t="str"/>
      <x:c r="AH2" s="14" t="n">
        <x:v>40388</x:v>
      </x:c>
      <x:c r="AI2" s="14" t="n">
        <x:v>46225.17381944445</x:v>
      </x:c>
      <x:c r="AJ2" s="14" t="str">
        <x:v>http://www.peacecom.net</x:v>
      </x:c>
      <x:c r="AK2" s="14" t="str">
        <x:v>https://www.peeringdb.com/api/fac?state=TN&amp;country=US</x:v>
      </x:c>
      <x:c r="AL2" s="22" t="str">
        <x:v>https://www.peeringdb.com/fac/234</x:v>
      </x:c>
      <x:c r="AM2" s="22" t="str">
        <x:v>Formerly known as Digital Crossing.    Peace Communications KNX1 Facility has On Site access to multiple Tier1 and Tier2 Carriers.</x:v>
      </x:c>
      <x:c r="AN2" s="14" t="str">
        <x:v>core_data_center</x:v>
      </x:c>
      <x:c r="AO2" s="74" t="b">
        <x:v>1</x:v>
      </x:c>
      <x:c r="AP2" s="22" t="str">
        <x:v>peace communications formerly nexus group</x:v>
      </x:c>
      <x:c r="AQ2" s="14" t="str">
        <x:v>peace communications knx1</x:v>
      </x:c>
      <x:c r="AR2" s="15" t="str">
        <x:v>500 w summit hill</x:v>
      </x:c>
    </x:row>
    <x:row r="3" ht="28" hidden="0" customHeight="1">
      <x:c r="A3" s="16" t="str">
        <x:v>peeringdb</x:v>
      </x:c>
      <x:c r="B3" s="23" t="str">
        <x:v>311</x:v>
      </x:c>
      <x:c r="C3" s="23" t="str">
        <x:v>Level(3) Nashville (Sidco Drive)</x:v>
      </x:c>
      <x:c r="D3" s="17" t="str"/>
      <x:c r="E3" s="23" t="str">
        <x:v>Lumen Technologies Inc</x:v>
      </x:c>
      <x:c r="F3" s="17" t="str"/>
      <x:c r="G3" s="23" t="str">
        <x:v>2992 Sidco Drive</x:v>
      </x:c>
      <x:c r="H3" s="17" t="str"/>
      <x:c r="I3" s="17" t="str">
        <x:v>Nashville</x:v>
      </x:c>
      <x:c r="J3" s="26" t="str"/>
      <x:c r="K3" s="17" t="str">
        <x:v>TN</x:v>
      </x:c>
      <x:c r="L3" s="17" t="str">
        <x:v>37201</x:v>
      </x:c>
      <x:c r="M3" s="29" t="str">
        <x:v>36.102726</x:v>
      </x:c>
      <x:c r="N3" s="29" t="str">
        <x:v>-86.755786</x:v>
      </x:c>
      <x:c r="O3" s="17" t="str">
        <x:v>address_or_site</x:v>
      </x:c>
      <x:c r="P3" s="17" t="str"/>
      <x:c r="Q3" s="17" t="str"/>
      <x:c r="R3" s="17" t="str">
        <x:v>ok</x:v>
      </x:c>
      <x:c r="S3" s="17" t="str">
        <x:v>operational</x:v>
      </x:c>
      <x:c r="T3" s="17" t="str">
        <x:v>interconnection_facility</x:v>
      </x:c>
      <x:c r="U3" s="17" t="str"/>
      <x:c r="V3" s="26" t="str"/>
      <x:c r="W3" s="26" t="str"/>
      <x:c r="X3" s="26" t="str"/>
      <x:c r="Y3" s="26" t="str"/>
      <x:c r="Z3" s="17" t="str"/>
      <x:c r="AA3" s="17" t="str"/>
      <x:c r="AB3" s="17" t="str"/>
      <x:c r="AC3" s="35" t="str"/>
      <x:c r="AD3" s="17" t="str"/>
      <x:c r="AE3" s="17" t="str"/>
      <x:c r="AF3" s="17" t="str"/>
      <x:c r="AG3" s="17" t="str"/>
      <x:c r="AH3" s="17" t="n">
        <x:v>40388</x:v>
      </x:c>
      <x:c r="AI3" s="17" t="n">
        <x:v>45926.946226851855</x:v>
      </x:c>
      <x:c r="AJ3" s="17" t="str">
        <x:v>http://www.level3.com</x:v>
      </x:c>
      <x:c r="AK3" s="17" t="str">
        <x:v>https://www.peeringdb.com/api/fac?state=TN&amp;country=US</x:v>
      </x:c>
      <x:c r="AL3" s="23" t="str">
        <x:v>https://www.peeringdb.com/fac/311</x:v>
      </x:c>
      <x:c r="AM3" s="23" t="str"/>
      <x:c r="AN3" s="17" t="str">
        <x:v>core_data_center</x:v>
      </x:c>
      <x:c r="AO3" s="77" t="b">
        <x:v>1</x:v>
      </x:c>
      <x:c r="AP3" s="23" t="str">
        <x:v>lumen technologies</x:v>
      </x:c>
      <x:c r="AQ3" s="17" t="str">
        <x:v>level 3 nashville sidco drive</x:v>
      </x:c>
      <x:c r="AR3" s="18" t="str">
        <x:v>2992 sidco dr</x:v>
      </x:c>
    </x:row>
    <x:row r="4" ht="28" hidden="0" customHeight="1">
      <x:c r="A4" s="16" t="str">
        <x:v>peeringdb</x:v>
      </x:c>
      <x:c r="B4" s="23" t="str">
        <x:v>312</x:v>
      </x:c>
      <x:c r="C4" s="23" t="str">
        <x:v>IRIS - Nashville</x:v>
      </x:c>
      <x:c r="D4" s="17" t="str"/>
      <x:c r="E4" s="23" t="str">
        <x:v>IRIS</x:v>
      </x:c>
      <x:c r="F4" s="17" t="str"/>
      <x:c r="G4" s="23" t="str">
        <x:v>211 Commerce Street</x:v>
      </x:c>
      <x:c r="H4" s="17" t="str"/>
      <x:c r="I4" s="17" t="str">
        <x:v>Nashville</x:v>
      </x:c>
      <x:c r="J4" s="26" t="str"/>
      <x:c r="K4" s="17" t="str">
        <x:v>TN</x:v>
      </x:c>
      <x:c r="L4" s="17" t="str">
        <x:v>37201</x:v>
      </x:c>
      <x:c r="M4" s="29" t="str">
        <x:v>36.162621</x:v>
      </x:c>
      <x:c r="N4" s="29" t="str">
        <x:v>-86.776316</x:v>
      </x:c>
      <x:c r="O4" s="17" t="str">
        <x:v>address_or_site</x:v>
      </x:c>
      <x:c r="P4" s="17" t="str"/>
      <x:c r="Q4" s="17" t="str"/>
      <x:c r="R4" s="17" t="str">
        <x:v>ok</x:v>
      </x:c>
      <x:c r="S4" s="17" t="str">
        <x:v>operational</x:v>
      </x:c>
      <x:c r="T4" s="17" t="str">
        <x:v>interconnection_facility</x:v>
      </x:c>
      <x:c r="U4" s="17" t="str"/>
      <x:c r="V4" s="26" t="str"/>
      <x:c r="W4" s="26" t="str"/>
      <x:c r="X4" s="26" t="str"/>
      <x:c r="Y4" s="26" t="str"/>
      <x:c r="Z4" s="17" t="str"/>
      <x:c r="AA4" s="17" t="str"/>
      <x:c r="AB4" s="17" t="str"/>
      <x:c r="AC4" s="35" t="str"/>
      <x:c r="AD4" s="17" t="str"/>
      <x:c r="AE4" s="17" t="str"/>
      <x:c r="AF4" s="17" t="str"/>
      <x:c r="AG4" s="17" t="str"/>
      <x:c r="AH4" s="17" t="n">
        <x:v>40388</x:v>
      </x:c>
      <x:c r="AI4" s="17" t="n">
        <x:v>45926.946226851855</x:v>
      </x:c>
      <x:c r="AJ4" s="17" t="str">
        <x:v>http://www.iristransport.com/</x:v>
      </x:c>
      <x:c r="AK4" s="17" t="str">
        <x:v>https://www.peeringdb.com/api/fac?state=TN&amp;country=US</x:v>
      </x:c>
      <x:c r="AL4" s="23" t="str">
        <x:v>https://www.peeringdb.com/fac/312</x:v>
      </x:c>
      <x:c r="AM4" s="23" t="str"/>
      <x:c r="AN4" s="17" t="str">
        <x:v>core_data_center</x:v>
      </x:c>
      <x:c r="AO4" s="77" t="b">
        <x:v>1</x:v>
      </x:c>
      <x:c r="AP4" s="23" t="str">
        <x:v>iris</x:v>
      </x:c>
      <x:c r="AQ4" s="17" t="str">
        <x:v>iris nashville</x:v>
      </x:c>
      <x:c r="AR4" s="18" t="str">
        <x:v>211 commerce st</x:v>
      </x:c>
    </x:row>
    <x:row r="5" ht="28" hidden="0" customHeight="1">
      <x:c r="A5" s="16" t="str">
        <x:v>peeringdb</x:v>
      </x:c>
      <x:c r="B5" s="23" t="str">
        <x:v>368</x:v>
      </x:c>
      <x:c r="C5" s="23" t="str">
        <x:v>XO Nashville</x:v>
      </x:c>
      <x:c r="D5" s="17" t="str"/>
      <x:c r="E5" s="23" t="str">
        <x:v>XO</x:v>
      </x:c>
      <x:c r="F5" s="17" t="str"/>
      <x:c r="G5" s="23" t="str">
        <x:v>101 Molloy Street</x:v>
      </x:c>
      <x:c r="H5" s="17" t="str"/>
      <x:c r="I5" s="17" t="str">
        <x:v>Nashville</x:v>
      </x:c>
      <x:c r="J5" s="26" t="str"/>
      <x:c r="K5" s="17" t="str">
        <x:v>TN</x:v>
      </x:c>
      <x:c r="L5" s="17" t="str">
        <x:v>37201</x:v>
      </x:c>
      <x:c r="M5" s="29" t="str">
        <x:v>36.158837</x:v>
      </x:c>
      <x:c r="N5" s="29" t="str">
        <x:v>-86.772516</x:v>
      </x:c>
      <x:c r="O5" s="17" t="str">
        <x:v>address_or_site</x:v>
      </x:c>
      <x:c r="P5" s="17" t="str"/>
      <x:c r="Q5" s="17" t="str"/>
      <x:c r="R5" s="17" t="str">
        <x:v>ok</x:v>
      </x:c>
      <x:c r="S5" s="17" t="str">
        <x:v>operational</x:v>
      </x:c>
      <x:c r="T5" s="17" t="str">
        <x:v>interconnection_facility</x:v>
      </x:c>
      <x:c r="U5" s="17" t="str"/>
      <x:c r="V5" s="26" t="str"/>
      <x:c r="W5" s="26" t="str"/>
      <x:c r="X5" s="26" t="str"/>
      <x:c r="Y5" s="26" t="str"/>
      <x:c r="Z5" s="17" t="str"/>
      <x:c r="AA5" s="17" t="str"/>
      <x:c r="AB5" s="17" t="str"/>
      <x:c r="AC5" s="35" t="str"/>
      <x:c r="AD5" s="17" t="str"/>
      <x:c r="AE5" s="17" t="str"/>
      <x:c r="AF5" s="17" t="str"/>
      <x:c r="AG5" s="17" t="str"/>
      <x:c r="AH5" s="17" t="n">
        <x:v>40388</x:v>
      </x:c>
      <x:c r="AI5" s="17" t="n">
        <x:v>45926.94627314815</x:v>
      </x:c>
      <x:c r="AJ5" s="17" t="str">
        <x:v>http://www.xo.com</x:v>
      </x:c>
      <x:c r="AK5" s="17" t="str">
        <x:v>https://www.peeringdb.com/api/fac?state=TN&amp;country=US</x:v>
      </x:c>
      <x:c r="AL5" s="23" t="str">
        <x:v>https://www.peeringdb.com/fac/368</x:v>
      </x:c>
      <x:c r="AM5" s="23" t="str"/>
      <x:c r="AN5" s="17" t="str">
        <x:v>core_data_center</x:v>
      </x:c>
      <x:c r="AO5" s="77" t="b">
        <x:v>1</x:v>
      </x:c>
      <x:c r="AP5" s="23" t="str">
        <x:v>xo</x:v>
      </x:c>
      <x:c r="AQ5" s="17" t="str">
        <x:v>xo nashville</x:v>
      </x:c>
      <x:c r="AR5" s="18" t="str">
        <x:v>101 molloy st</x:v>
      </x:c>
    </x:row>
    <x:row r="6" ht="28" hidden="0" customHeight="1">
      <x:c r="A6" s="16" t="str">
        <x:v>peeringdb</x:v>
      </x:c>
      <x:c r="B6" s="23" t="str">
        <x:v>561</x:v>
      </x:c>
      <x:c r="C6" s="23" t="str">
        <x:v>H5 Data Centers Nashville</x:v>
      </x:c>
      <x:c r="D6" s="17" t="str"/>
      <x:c r="E6" s="23" t="str">
        <x:v>H5 Data Centers</x:v>
      </x:c>
      <x:c r="F6" s="17" t="str"/>
      <x:c r="G6" s="23" t="str">
        <x:v>147 Fourth Avenue</x:v>
      </x:c>
      <x:c r="H6" s="17" t="str"/>
      <x:c r="I6" s="17" t="str">
        <x:v>Nashville</x:v>
      </x:c>
      <x:c r="J6" s="26" t="str"/>
      <x:c r="K6" s="17" t="str">
        <x:v>TN</x:v>
      </x:c>
      <x:c r="L6" s="17" t="str">
        <x:v>37219</x:v>
      </x:c>
      <x:c r="M6" s="29" t="str">
        <x:v>36.162626</x:v>
      </x:c>
      <x:c r="N6" s="29" t="str">
        <x:v>-86.778674</x:v>
      </x:c>
      <x:c r="O6" s="17" t="str">
        <x:v>address_or_site</x:v>
      </x:c>
      <x:c r="P6" s="17" t="str"/>
      <x:c r="Q6" s="17" t="str"/>
      <x:c r="R6" s="17" t="str">
        <x:v>ok</x:v>
      </x:c>
      <x:c r="S6" s="17" t="str">
        <x:v>operational</x:v>
      </x:c>
      <x:c r="T6" s="17" t="str">
        <x:v>interconnection_facility</x:v>
      </x:c>
      <x:c r="U6" s="17" t="str"/>
      <x:c r="V6" s="26" t="str"/>
      <x:c r="W6" s="26" t="str"/>
      <x:c r="X6" s="26" t="str"/>
      <x:c r="Y6" s="26" t="str"/>
      <x:c r="Z6" s="17" t="str"/>
      <x:c r="AA6" s="17" t="str"/>
      <x:c r="AB6" s="17" t="str"/>
      <x:c r="AC6" s="35" t="str"/>
      <x:c r="AD6" s="17" t="str"/>
      <x:c r="AE6" s="17" t="str"/>
      <x:c r="AF6" s="17" t="str"/>
      <x:c r="AG6" s="17" t="str"/>
      <x:c r="AH6" s="17" t="n">
        <x:v>40388</x:v>
      </x:c>
      <x:c r="AI6" s="17" t="n">
        <x:v>46083.95712962963</x:v>
      </x:c>
      <x:c r="AJ6" s="17" t="str">
        <x:v>https://h5datacenters.com/nashville-colocation.html</x:v>
      </x:c>
      <x:c r="AK6" s="17" t="str">
        <x:v>https://www.peeringdb.com/api/fac?state=TN&amp;country=US</x:v>
      </x:c>
      <x:c r="AL6" s="23" t="str">
        <x:v>https://www.peeringdb.com/fac/561</x:v>
      </x:c>
      <x:c r="AM6" s="23" t="str">
        <x:v>This is the former Switch &amp; Data/Equinix facility.</x:v>
      </x:c>
      <x:c r="AN6" s="17" t="str">
        <x:v>core_data_center</x:v>
      </x:c>
      <x:c r="AO6" s="77" t="b">
        <x:v>1</x:v>
      </x:c>
      <x:c r="AP6" s="23" t="str">
        <x:v>h5 data centers</x:v>
      </x:c>
      <x:c r="AQ6" s="17" t="str">
        <x:v>h5 data centers nashville</x:v>
      </x:c>
      <x:c r="AR6" s="18" t="str">
        <x:v>147 fourth ave</x:v>
      </x:c>
    </x:row>
    <x:row r="7" ht="28" hidden="0" customHeight="1">
      <x:c r="A7" s="16" t="str">
        <x:v>peeringdb</x:v>
      </x:c>
      <x:c r="B7" s="23" t="str">
        <x:v>1294</x:v>
      </x:c>
      <x:c r="C7" s="23" t="str">
        <x:v>Level(3) Memphis</x:v>
      </x:c>
      <x:c r="D7" s="17" t="str"/>
      <x:c r="E7" s="23" t="str">
        <x:v>Lumen Technologies Inc</x:v>
      </x:c>
      <x:c r="F7" s="17" t="str"/>
      <x:c r="G7" s="23" t="str">
        <x:v>3993 Crowfarn Drive</x:v>
      </x:c>
      <x:c r="H7" s="17" t="str"/>
      <x:c r="I7" s="17" t="str">
        <x:v>Memphis</x:v>
      </x:c>
      <x:c r="J7" s="26" t="str"/>
      <x:c r="K7" s="17" t="str">
        <x:v>TN</x:v>
      </x:c>
      <x:c r="L7" s="17" t="str">
        <x:v>38118-7326</x:v>
      </x:c>
      <x:c r="M7" s="29" t="str">
        <x:v>35.028826</x:v>
      </x:c>
      <x:c r="N7" s="29" t="str">
        <x:v>-89.930755</x:v>
      </x:c>
      <x:c r="O7" s="17" t="str">
        <x:v>address_or_site</x:v>
      </x:c>
      <x:c r="P7" s="17" t="str"/>
      <x:c r="Q7" s="17" t="str"/>
      <x:c r="R7" s="17" t="str">
        <x:v>ok</x:v>
      </x:c>
      <x:c r="S7" s="17" t="str">
        <x:v>operational</x:v>
      </x:c>
      <x:c r="T7" s="17" t="str">
        <x:v>interconnection_facility</x:v>
      </x:c>
      <x:c r="U7" s="17" t="str"/>
      <x:c r="V7" s="26" t="str"/>
      <x:c r="W7" s="26" t="str"/>
      <x:c r="X7" s="26" t="str"/>
      <x:c r="Y7" s="26" t="str"/>
      <x:c r="Z7" s="17" t="str"/>
      <x:c r="AA7" s="17" t="str"/>
      <x:c r="AB7" s="17" t="str"/>
      <x:c r="AC7" s="35" t="str"/>
      <x:c r="AD7" s="17" t="str"/>
      <x:c r="AE7" s="17" t="str"/>
      <x:c r="AF7" s="17" t="str"/>
      <x:c r="AG7" s="17" t="str"/>
      <x:c r="AH7" s="17" t="n">
        <x:v>41158</x:v>
      </x:c>
      <x:c r="AI7" s="17" t="n">
        <x:v>45926.94741898148</x:v>
      </x:c>
      <x:c r="AJ7" s="17" t="str">
        <x:v>http://www.level3.com</x:v>
      </x:c>
      <x:c r="AK7" s="17" t="str">
        <x:v>https://www.peeringdb.com/api/fac?state=TN&amp;country=US</x:v>
      </x:c>
      <x:c r="AL7" s="23" t="str">
        <x:v>https://www.peeringdb.com/fac/1294</x:v>
      </x:c>
      <x:c r="AM7" s="23" t="str"/>
      <x:c r="AN7" s="17" t="str">
        <x:v>core_data_center</x:v>
      </x:c>
      <x:c r="AO7" s="77" t="b">
        <x:v>1</x:v>
      </x:c>
      <x:c r="AP7" s="23" t="str">
        <x:v>lumen technologies</x:v>
      </x:c>
      <x:c r="AQ7" s="17" t="str">
        <x:v>level 3 memphis</x:v>
      </x:c>
      <x:c r="AR7" s="18" t="str">
        <x:v>3993 crowfarn dr</x:v>
      </x:c>
    </x:row>
    <x:row r="8" ht="28" hidden="0" customHeight="1">
      <x:c r="A8" s="16" t="str">
        <x:v>peeringdb</x:v>
      </x:c>
      <x:c r="B8" s="23" t="str">
        <x:v>1924</x:v>
      </x:c>
      <x:c r="C8" s="23" t="str">
        <x:v>EdgeConneX Nashville (EDCNAS01)</x:v>
      </x:c>
      <x:c r="D8" s="17" t="str"/>
      <x:c r="E8" s="23" t="str">
        <x:v>EdgeConneX Inc.</x:v>
      </x:c>
      <x:c r="F8" s="17" t="str"/>
      <x:c r="G8" s="23" t="str">
        <x:v>1841 Air Lane Dr</x:v>
      </x:c>
      <x:c r="H8" s="17" t="str">
        <x:v>Building 3</x:v>
      </x:c>
      <x:c r="I8" s="17" t="str">
        <x:v>Nashville</x:v>
      </x:c>
      <x:c r="J8" s="26" t="str"/>
      <x:c r="K8" s="17" t="str">
        <x:v>TN</x:v>
      </x:c>
      <x:c r="L8" s="17" t="str">
        <x:v>37210</x:v>
      </x:c>
      <x:c r="M8" s="29" t="str">
        <x:v>36.144881</x:v>
      </x:c>
      <x:c r="N8" s="29" t="str">
        <x:v>-86.701721</x:v>
      </x:c>
      <x:c r="O8" s="17" t="str">
        <x:v>address_or_site</x:v>
      </x:c>
      <x:c r="P8" s="17" t="str"/>
      <x:c r="Q8" s="17" t="str"/>
      <x:c r="R8" s="17" t="str">
        <x:v>ok</x:v>
      </x:c>
      <x:c r="S8" s="17" t="str">
        <x:v>operational</x:v>
      </x:c>
      <x:c r="T8" s="17" t="str">
        <x:v>interconnection_facility</x:v>
      </x:c>
      <x:c r="U8" s="17" t="str"/>
      <x:c r="V8" s="26" t="str"/>
      <x:c r="W8" s="26" t="str"/>
      <x:c r="X8" s="26" t="str"/>
      <x:c r="Y8" s="26" t="str"/>
      <x:c r="Z8" s="17" t="str"/>
      <x:c r="AA8" s="17" t="str"/>
      <x:c r="AB8" s="17" t="str"/>
      <x:c r="AC8" s="35" t="str"/>
      <x:c r="AD8" s="17" t="str"/>
      <x:c r="AE8" s="17" t="str"/>
      <x:c r="AF8" s="17" t="str"/>
      <x:c r="AG8" s="17" t="str"/>
      <x:c r="AH8" s="17" t="n">
        <x:v>41911</x:v>
      </x:c>
      <x:c r="AI8" s="17" t="n">
        <x:v>45926.94809027778</x:v>
      </x:c>
      <x:c r="AJ8" s="17" t="str">
        <x:v>http://www.edgeconnex.com</x:v>
      </x:c>
      <x:c r="AK8" s="17" t="str">
        <x:v>https://www.peeringdb.com/api/fac?state=TN&amp;country=US</x:v>
      </x:c>
      <x:c r="AL8" s="23" t="str">
        <x:v>https://www.peeringdb.com/fac/1924</x:v>
      </x:c>
      <x:c r="AM8" s="23" t="str"/>
      <x:c r="AN8" s="17" t="str">
        <x:v>core_data_center</x:v>
      </x:c>
      <x:c r="AO8" s="77" t="b">
        <x:v>1</x:v>
      </x:c>
      <x:c r="AP8" s="23" t="str">
        <x:v>edgeconnex</x:v>
      </x:c>
      <x:c r="AQ8" s="17" t="str">
        <x:v>edgeconnex nashville edcnas01</x:v>
      </x:c>
      <x:c r="AR8" s="18" t="str">
        <x:v>1841 air lane dr</x:v>
      </x:c>
    </x:row>
    <x:row r="9" ht="28" hidden="0" customHeight="1">
      <x:c r="A9" s="16" t="str">
        <x:v>peeringdb</x:v>
      </x:c>
      <x:c r="B9" s="23" t="str">
        <x:v>1930</x:v>
      </x:c>
      <x:c r="C9" s="23" t="str">
        <x:v>EdgeConneX Memphis (EDCMEM01)</x:v>
      </x:c>
      <x:c r="D9" s="17" t="str"/>
      <x:c r="E9" s="23" t="str">
        <x:v>EdgeConneX Inc.</x:v>
      </x:c>
      <x:c r="F9" s="17" t="str"/>
      <x:c r="G9" s="23" t="str">
        <x:v>4005 S Mendenhall Rd</x:v>
      </x:c>
      <x:c r="H9" s="17" t="str"/>
      <x:c r="I9" s="17" t="str">
        <x:v>Memphis</x:v>
      </x:c>
      <x:c r="J9" s="26" t="str"/>
      <x:c r="K9" s="17" t="str">
        <x:v>TN</x:v>
      </x:c>
      <x:c r="L9" s="17" t="str">
        <x:v>38115</x:v>
      </x:c>
      <x:c r="M9" s="29" t="str">
        <x:v>35.038995</x:v>
      </x:c>
      <x:c r="N9" s="29" t="str">
        <x:v>-89.88623</x:v>
      </x:c>
      <x:c r="O9" s="17" t="str">
        <x:v>address_or_site</x:v>
      </x:c>
      <x:c r="P9" s="17" t="str"/>
      <x:c r="Q9" s="17" t="str"/>
      <x:c r="R9" s="17" t="str">
        <x:v>ok</x:v>
      </x:c>
      <x:c r="S9" s="17" t="str">
        <x:v>operational</x:v>
      </x:c>
      <x:c r="T9" s="17" t="str">
        <x:v>interconnection_facility</x:v>
      </x:c>
      <x:c r="U9" s="17" t="str"/>
      <x:c r="V9" s="26" t="str"/>
      <x:c r="W9" s="26" t="str"/>
      <x:c r="X9" s="26" t="str"/>
      <x:c r="Y9" s="26" t="str"/>
      <x:c r="Z9" s="17" t="str"/>
      <x:c r="AA9" s="17" t="str"/>
      <x:c r="AB9" s="17" t="str"/>
      <x:c r="AC9" s="35" t="str"/>
      <x:c r="AD9" s="17" t="str"/>
      <x:c r="AE9" s="17" t="str"/>
      <x:c r="AF9" s="17" t="str"/>
      <x:c r="AG9" s="17" t="str"/>
      <x:c r="AH9" s="17" t="n">
        <x:v>41911</x:v>
      </x:c>
      <x:c r="AI9" s="17" t="n">
        <x:v>45926.948113425926</x:v>
      </x:c>
      <x:c r="AJ9" s="17" t="str">
        <x:v>http://www.edgeconnex.com</x:v>
      </x:c>
      <x:c r="AK9" s="17" t="str">
        <x:v>https://www.peeringdb.com/api/fac?state=TN&amp;country=US</x:v>
      </x:c>
      <x:c r="AL9" s="23" t="str">
        <x:v>https://www.peeringdb.com/fac/1930</x:v>
      </x:c>
      <x:c r="AM9" s="23" t="str"/>
      <x:c r="AN9" s="17" t="str">
        <x:v>core_data_center</x:v>
      </x:c>
      <x:c r="AO9" s="77" t="b">
        <x:v>1</x:v>
      </x:c>
      <x:c r="AP9" s="23" t="str">
        <x:v>edgeconnex</x:v>
      </x:c>
      <x:c r="AQ9" s="17" t="str">
        <x:v>edgeconnex memphis edcmem01</x:v>
      </x:c>
      <x:c r="AR9" s="18" t="str">
        <x:v>4005 s mendenhall rd</x:v>
      </x:c>
    </x:row>
    <x:row r="10" ht="28" hidden="0" customHeight="1">
      <x:c r="A10" s="16" t="str">
        <x:v>peeringdb</x:v>
      </x:c>
      <x:c r="B10" s="23" t="str">
        <x:v>1983</x:v>
      </x:c>
      <x:c r="C10" s="23" t="str">
        <x:v>Level(3) Nashville (9th Ave)</x:v>
      </x:c>
      <x:c r="D10" s="17" t="str"/>
      <x:c r="E10" s="23" t="str">
        <x:v>Lumen Technologies Inc</x:v>
      </x:c>
      <x:c r="F10" s="17" t="str"/>
      <x:c r="G10" s="23" t="str">
        <x:v>2208 9th Ave N</x:v>
      </x:c>
      <x:c r="H10" s="17" t="str"/>
      <x:c r="I10" s="17" t="str">
        <x:v>Nashville</x:v>
      </x:c>
      <x:c r="J10" s="26" t="str"/>
      <x:c r="K10" s="17" t="str">
        <x:v>TN</x:v>
      </x:c>
      <x:c r="L10" s="17" t="str">
        <x:v>37208</x:v>
      </x:c>
      <x:c r="M10" s="29" t="str">
        <x:v>36.189148</x:v>
      </x:c>
      <x:c r="N10" s="29" t="str">
        <x:v>-86.804111</x:v>
      </x:c>
      <x:c r="O10" s="17" t="str">
        <x:v>address_or_site</x:v>
      </x:c>
      <x:c r="P10" s="17" t="str"/>
      <x:c r="Q10" s="17" t="str"/>
      <x:c r="R10" s="17" t="str">
        <x:v>ok</x:v>
      </x:c>
      <x:c r="S10" s="17" t="str">
        <x:v>operational</x:v>
      </x:c>
      <x:c r="T10" s="17" t="str">
        <x:v>interconnection_facility</x:v>
      </x:c>
      <x:c r="U10" s="17" t="str"/>
      <x:c r="V10" s="26" t="str"/>
      <x:c r="W10" s="26" t="str"/>
      <x:c r="X10" s="26" t="str"/>
      <x:c r="Y10" s="26" t="str"/>
      <x:c r="Z10" s="17" t="str"/>
      <x:c r="AA10" s="17" t="str"/>
      <x:c r="AB10" s="17" t="str"/>
      <x:c r="AC10" s="35" t="str"/>
      <x:c r="AD10" s="17" t="str"/>
      <x:c r="AE10" s="17" t="str"/>
      <x:c r="AF10" s="17" t="str"/>
      <x:c r="AG10" s="17" t="str"/>
      <x:c r="AH10" s="17" t="n">
        <x:v>41989</x:v>
      </x:c>
      <x:c r="AI10" s="17" t="n">
        <x:v>45926.94820601852</x:v>
      </x:c>
      <x:c r="AJ10" s="17" t="str">
        <x:v>http://www.level3.net</x:v>
      </x:c>
      <x:c r="AK10" s="17" t="str">
        <x:v>https://www.peeringdb.com/api/fac?state=TN&amp;country=US</x:v>
      </x:c>
      <x:c r="AL10" s="23" t="str">
        <x:v>https://www.peeringdb.com/fac/1983</x:v>
      </x:c>
      <x:c r="AM10" s="23" t="str"/>
      <x:c r="AN10" s="17" t="str">
        <x:v>core_data_center</x:v>
      </x:c>
      <x:c r="AO10" s="77" t="b">
        <x:v>1</x:v>
      </x:c>
      <x:c r="AP10" s="23" t="str">
        <x:v>lumen technologies</x:v>
      </x:c>
      <x:c r="AQ10" s="17" t="str">
        <x:v>level 3 nashville 9th ave</x:v>
      </x:c>
      <x:c r="AR10" s="18" t="str">
        <x:v>2208 9th ave n</x:v>
      </x:c>
    </x:row>
    <x:row r="11" ht="28" hidden="0" customHeight="1">
      <x:c r="A11" s="16" t="str">
        <x:v>peeringdb</x:v>
      </x:c>
      <x:c r="B11" s="23" t="str">
        <x:v>2936</x:v>
      </x:c>
      <x:c r="C11" s="23" t="str">
        <x:v>Zayo Nashville - 209 10th Ave. S</x:v>
      </x:c>
      <x:c r="D11" s="17" t="str"/>
      <x:c r="E11" s="23" t="str">
        <x:v>Zayo Group</x:v>
      </x:c>
      <x:c r="F11" s="17" t="str"/>
      <x:c r="G11" s="23" t="str">
        <x:v>209 10th Ave. S</x:v>
      </x:c>
      <x:c r="H11" s="17" t="str"/>
      <x:c r="I11" s="17" t="str">
        <x:v>Nashville</x:v>
      </x:c>
      <x:c r="J11" s="26" t="str"/>
      <x:c r="K11" s="17" t="str">
        <x:v>TN</x:v>
      </x:c>
      <x:c r="L11" s="17" t="str">
        <x:v>37203</x:v>
      </x:c>
      <x:c r="M11" s="29" t="str">
        <x:v>36.155165</x:v>
      </x:c>
      <x:c r="N11" s="29" t="str">
        <x:v>-86.782559</x:v>
      </x:c>
      <x:c r="O11" s="17" t="str">
        <x:v>address_or_site</x:v>
      </x:c>
      <x:c r="P11" s="17" t="str"/>
      <x:c r="Q11" s="17" t="str"/>
      <x:c r="R11" s="17" t="str">
        <x:v>ok</x:v>
      </x:c>
      <x:c r="S11" s="17" t="str">
        <x:v>operational</x:v>
      </x:c>
      <x:c r="T11" s="17" t="str">
        <x:v>interconnection_facility</x:v>
      </x:c>
      <x:c r="U11" s="17" t="str"/>
      <x:c r="V11" s="26" t="str"/>
      <x:c r="W11" s="26" t="str"/>
      <x:c r="X11" s="26" t="str"/>
      <x:c r="Y11" s="26" t="str"/>
      <x:c r="Z11" s="17" t="str"/>
      <x:c r="AA11" s="17" t="str"/>
      <x:c r="AB11" s="17" t="str"/>
      <x:c r="AC11" s="35" t="str"/>
      <x:c r="AD11" s="17" t="str"/>
      <x:c r="AE11" s="17" t="str"/>
      <x:c r="AF11" s="17" t="str"/>
      <x:c r="AG11" s="17" t="str"/>
      <x:c r="AH11" s="17" t="n">
        <x:v>42534.881736111114</x:v>
      </x:c>
      <x:c r="AI11" s="17" t="n">
        <x:v>45926.94965277778</x:v>
      </x:c>
      <x:c r="AJ11" s="17" t="str">
        <x:v>http://www.databank.com</x:v>
      </x:c>
      <x:c r="AK11" s="17" t="str">
        <x:v>https://www.peeringdb.com/api/fac?state=TN&amp;country=US</x:v>
      </x:c>
      <x:c r="AL11" s="23" t="str">
        <x:v>https://www.peeringdb.com/fac/2936</x:v>
      </x:c>
      <x:c r="AM11" s="23" t="str"/>
      <x:c r="AN11" s="17" t="str">
        <x:v>core_data_center</x:v>
      </x:c>
      <x:c r="AO11" s="77" t="b">
        <x:v>1</x:v>
      </x:c>
      <x:c r="AP11" s="23" t="str">
        <x:v>zayo group</x:v>
      </x:c>
      <x:c r="AQ11" s="17" t="str">
        <x:v>zayo nashville 209 10th ave s</x:v>
      </x:c>
      <x:c r="AR11" s="18" t="str">
        <x:v>209 10th ave s</x:v>
      </x:c>
    </x:row>
    <x:row r="12" ht="28" hidden="0" customHeight="1">
      <x:c r="A12" s="16" t="str">
        <x:v>peeringdb</x:v>
      </x:c>
      <x:c r="B12" s="23" t="str">
        <x:v>2958</x:v>
      </x:c>
      <x:c r="C12" s="23" t="str">
        <x:v>DataBank Memphis (MEM1)</x:v>
      </x:c>
      <x:c r="D12" s="17" t="str"/>
      <x:c r="E12" s="23" t="str">
        <x:v>DataBank, Ltd.</x:v>
      </x:c>
      <x:c r="F12" s="17" t="str"/>
      <x:c r="G12" s="23" t="str">
        <x:v>7620 Appling Center Dr</x:v>
      </x:c>
      <x:c r="H12" s="17" t="str"/>
      <x:c r="I12" s="17" t="str">
        <x:v>Memphis</x:v>
      </x:c>
      <x:c r="J12" s="26" t="str"/>
      <x:c r="K12" s="17" t="str">
        <x:v>TN</x:v>
      </x:c>
      <x:c r="L12" s="17" t="str">
        <x:v>38133</x:v>
      </x:c>
      <x:c r="M12" s="29" t="str">
        <x:v>35.203086</x:v>
      </x:c>
      <x:c r="N12" s="29" t="str">
        <x:v>-89.808615</x:v>
      </x:c>
      <x:c r="O12" s="17" t="str">
        <x:v>address_or_site</x:v>
      </x:c>
      <x:c r="P12" s="17" t="str"/>
      <x:c r="Q12" s="17" t="str"/>
      <x:c r="R12" s="17" t="str">
        <x:v>ok</x:v>
      </x:c>
      <x:c r="S12" s="17" t="str">
        <x:v>operational</x:v>
      </x:c>
      <x:c r="T12" s="17" t="str">
        <x:v>interconnection_facility</x:v>
      </x:c>
      <x:c r="U12" s="17" t="str"/>
      <x:c r="V12" s="26" t="str"/>
      <x:c r="W12" s="26" t="str"/>
      <x:c r="X12" s="26" t="str"/>
      <x:c r="Y12" s="26" t="str"/>
      <x:c r="Z12" s="17" t="str"/>
      <x:c r="AA12" s="17" t="str"/>
      <x:c r="AB12" s="17" t="str"/>
      <x:c r="AC12" s="35" t="str"/>
      <x:c r="AD12" s="17" t="str"/>
      <x:c r="AE12" s="17" t="str"/>
      <x:c r="AF12" s="17" t="str"/>
      <x:c r="AG12" s="17" t="str"/>
      <x:c r="AH12" s="17" t="n">
        <x:v>42536.84506944445</x:v>
      </x:c>
      <x:c r="AI12" s="17" t="n">
        <x:v>45926.94967592593</x:v>
      </x:c>
      <x:c r="AJ12" s="17" t="str">
        <x:v>https://www.databank.com/data-centers/memphis/mem1/</x:v>
      </x:c>
      <x:c r="AK12" s="17" t="str">
        <x:v>https://www.peeringdb.com/api/fac?state=TN&amp;country=US</x:v>
      </x:c>
      <x:c r="AL12" s="23" t="str">
        <x:v>https://www.peeringdb.com/fac/2958</x:v>
      </x:c>
      <x:c r="AM12" s="23" t="str"/>
      <x:c r="AN12" s="17" t="str">
        <x:v>core_data_center</x:v>
      </x:c>
      <x:c r="AO12" s="77" t="b">
        <x:v>1</x:v>
      </x:c>
      <x:c r="AP12" s="23" t="str">
        <x:v>databank</x:v>
      </x:c>
      <x:c r="AQ12" s="17" t="str">
        <x:v>databank memphis mem1</x:v>
      </x:c>
      <x:c r="AR12" s="18" t="str">
        <x:v>7620 appling center dr</x:v>
      </x:c>
    </x:row>
    <x:row r="13" ht="28" hidden="0" customHeight="1">
      <x:c r="A13" s="16" t="str">
        <x:v>peeringdb</x:v>
      </x:c>
      <x:c r="B13" s="23" t="str">
        <x:v>3925</x:v>
      </x:c>
      <x:c r="C13" s="23" t="str">
        <x:v>H5 Data Centers Nashville (TN01)</x:v>
      </x:c>
      <x:c r="D13" s="17" t="str">
        <x:v>vXchnge Nashville (TN01)</x:v>
      </x:c>
      <x:c r="E13" s="23" t="str">
        <x:v>H5 Data Centers</x:v>
      </x:c>
      <x:c r="F13" s="17" t="str"/>
      <x:c r="G13" s="23" t="str">
        <x:v>211 Commerce Street, Suite 700</x:v>
      </x:c>
      <x:c r="H13" s="17" t="str"/>
      <x:c r="I13" s="17" t="str">
        <x:v>Nashville</x:v>
      </x:c>
      <x:c r="J13" s="26" t="str"/>
      <x:c r="K13" s="17" t="str">
        <x:v>TN</x:v>
      </x:c>
      <x:c r="L13" s="17" t="str">
        <x:v>37201</x:v>
      </x:c>
      <x:c r="M13" s="29" t="str">
        <x:v>36.162621</x:v>
      </x:c>
      <x:c r="N13" s="29" t="str">
        <x:v>-86.776316</x:v>
      </x:c>
      <x:c r="O13" s="17" t="str">
        <x:v>address_or_site</x:v>
      </x:c>
      <x:c r="P13" s="17" t="str"/>
      <x:c r="Q13" s="17" t="str"/>
      <x:c r="R13" s="17" t="str">
        <x:v>ok</x:v>
      </x:c>
      <x:c r="S13" s="17" t="str">
        <x:v>decommissioned</x:v>
      </x:c>
      <x:c r="T13" s="17" t="str">
        <x:v>interconnection_facility</x:v>
      </x:c>
      <x:c r="U13" s="17" t="str"/>
      <x:c r="V13" s="26" t="str"/>
      <x:c r="W13" s="26" t="str"/>
      <x:c r="X13" s="26" t="str"/>
      <x:c r="Y13" s="26" t="str"/>
      <x:c r="Z13" s="17" t="str"/>
      <x:c r="AA13" s="17" t="str"/>
      <x:c r="AB13" s="17" t="str"/>
      <x:c r="AC13" s="35" t="str"/>
      <x:c r="AD13" s="17" t="str"/>
      <x:c r="AE13" s="17" t="str"/>
      <x:c r="AF13" s="17" t="str"/>
      <x:c r="AG13" s="17" t="str"/>
      <x:c r="AH13" s="17" t="n">
        <x:v>42838.915127314816</x:v>
      </x:c>
      <x:c r="AI13" s="17" t="n">
        <x:v>46204.929872685185</x:v>
      </x:c>
      <x:c r="AJ13" s="17" t="str">
        <x:v>http://h5datacenters.com/</x:v>
      </x:c>
      <x:c r="AK13" s="17" t="str">
        <x:v>https://www.peeringdb.com/api/fac?state=TN&amp;country=US</x:v>
      </x:c>
      <x:c r="AL13" s="23" t="str">
        <x:v>https://www.peeringdb.com/fac/3925</x:v>
      </x:c>
      <x:c r="AM13" s="23" t="str">
        <x:v>Site has been fully **DECOMMISSIONED** as of 6/30/2026</x:v>
      </x:c>
      <x:c r="AN13" s="17" t="str">
        <x:v>core_data_center</x:v>
      </x:c>
      <x:c r="AO13" s="77" t="b">
        <x:v>1</x:v>
      </x:c>
      <x:c r="AP13" s="23" t="str">
        <x:v>h5 data centers</x:v>
      </x:c>
      <x:c r="AQ13" s="17" t="str">
        <x:v>h5 data centers nashville tn01</x:v>
      </x:c>
      <x:c r="AR13" s="18" t="str">
        <x:v>211 commerce st</x:v>
      </x:c>
    </x:row>
    <x:row r="14" ht="28" hidden="0" customHeight="1">
      <x:c r="A14" s="16" t="str">
        <x:v>peeringdb</x:v>
      </x:c>
      <x:c r="B14" s="23" t="str">
        <x:v>4374</x:v>
      </x:c>
      <x:c r="C14" s="23" t="str">
        <x:v>TierPoint Nashville</x:v>
      </x:c>
      <x:c r="D14" s="17" t="str"/>
      <x:c r="E14" s="23" t="str">
        <x:v>TierPoint, LLC</x:v>
      </x:c>
      <x:c r="F14" s="17" t="str"/>
      <x:c r="G14" s="23" t="str">
        <x:v>311 Eddy Lane</x:v>
      </x:c>
      <x:c r="H14" s="17" t="str"/>
      <x:c r="I14" s="17" t="str">
        <x:v>Franklin</x:v>
      </x:c>
      <x:c r="J14" s="26" t="str"/>
      <x:c r="K14" s="17" t="str">
        <x:v>TN</x:v>
      </x:c>
      <x:c r="L14" s="17" t="str">
        <x:v>37064</x:v>
      </x:c>
      <x:c r="M14" s="29" t="str">
        <x:v>35.924575</x:v>
      </x:c>
      <x:c r="N14" s="29" t="str">
        <x:v>-86.85582</x:v>
      </x:c>
      <x:c r="O14" s="17" t="str">
        <x:v>address_or_site</x:v>
      </x:c>
      <x:c r="P14" s="17" t="str"/>
      <x:c r="Q14" s="17" t="str"/>
      <x:c r="R14" s="17" t="str">
        <x:v>ok</x:v>
      </x:c>
      <x:c r="S14" s="17" t="str">
        <x:v>operational</x:v>
      </x:c>
      <x:c r="T14" s="17" t="str">
        <x:v>interconnection_facility</x:v>
      </x:c>
      <x:c r="U14" s="17" t="str"/>
      <x:c r="V14" s="26" t="str"/>
      <x:c r="W14" s="26" t="str"/>
      <x:c r="X14" s="26" t="str"/>
      <x:c r="Y14" s="26" t="str"/>
      <x:c r="Z14" s="17" t="str"/>
      <x:c r="AA14" s="17" t="str"/>
      <x:c r="AB14" s="17" t="str"/>
      <x:c r="AC14" s="35" t="str"/>
      <x:c r="AD14" s="17" t="str"/>
      <x:c r="AE14" s="17" t="str"/>
      <x:c r="AF14" s="17" t="str"/>
      <x:c r="AG14" s="17" t="str"/>
      <x:c r="AH14" s="17" t="n">
        <x:v>42976.974756944444</x:v>
      </x:c>
      <x:c r="AI14" s="17" t="n">
        <x:v>45926.95111111111</x:v>
      </x:c>
      <x:c r="AJ14" s="17" t="str">
        <x:v>https://www.tierpoint.com/data-centers/tennessee/nashville/</x:v>
      </x:c>
      <x:c r="AK14" s="17" t="str">
        <x:v>https://www.peeringdb.com/api/fac?state=TN&amp;country=US</x:v>
      </x:c>
      <x:c r="AL14" s="23" t="str">
        <x:v>https://www.peeringdb.com/fac/4374</x:v>
      </x:c>
      <x:c r="AM14" s="23" t="str"/>
      <x:c r="AN14" s="17" t="str">
        <x:v>core_data_center</x:v>
      </x:c>
      <x:c r="AO14" s="77" t="b">
        <x:v>1</x:v>
      </x:c>
      <x:c r="AP14" s="23" t="str">
        <x:v>tierpoint</x:v>
      </x:c>
      <x:c r="AQ14" s="17" t="str">
        <x:v>tierpoint nashville</x:v>
      </x:c>
      <x:c r="AR14" s="18" t="str">
        <x:v>311 eddy lane</x:v>
      </x:c>
    </x:row>
    <x:row r="15" ht="28" hidden="0" customHeight="1">
      <x:c r="A15" s="16" t="str">
        <x:v>peeringdb</x:v>
      </x:c>
      <x:c r="B15" s="23" t="str">
        <x:v>5003</x:v>
      </x:c>
      <x:c r="C15" s="23" t="str">
        <x:v>Flexential - Nashville/Brentwood (NAS01/04)</x:v>
      </x:c>
      <x:c r="D15" s="17" t="str"/>
      <x:c r="E15" s="23" t="str">
        <x:v>Flexential Corp.</x:v>
      </x:c>
      <x:c r="F15" s="17" t="str"/>
      <x:c r="G15" s="23" t="str">
        <x:v>7100 Commerce Way, Suite 25,</x:v>
      </x:c>
      <x:c r="H15" s="17" t="str"/>
      <x:c r="I15" s="17" t="str">
        <x:v>Brentwood</x:v>
      </x:c>
      <x:c r="J15" s="26" t="str"/>
      <x:c r="K15" s="17" t="str">
        <x:v>TN</x:v>
      </x:c>
      <x:c r="L15" s="17" t="str">
        <x:v>37027</x:v>
      </x:c>
      <x:c r="M15" s="29" t="str">
        <x:v>35.972453</x:v>
      </x:c>
      <x:c r="N15" s="29" t="str">
        <x:v>-86.808748</x:v>
      </x:c>
      <x:c r="O15" s="17" t="str">
        <x:v>address_or_site</x:v>
      </x:c>
      <x:c r="P15" s="17" t="str"/>
      <x:c r="Q15" s="17" t="str"/>
      <x:c r="R15" s="17" t="str">
        <x:v>ok</x:v>
      </x:c>
      <x:c r="S15" s="17" t="str">
        <x:v>operational</x:v>
      </x:c>
      <x:c r="T15" s="17" t="str">
        <x:v>interconnection_facility</x:v>
      </x:c>
      <x:c r="U15" s="17" t="str"/>
      <x:c r="V15" s="26" t="str"/>
      <x:c r="W15" s="26" t="str"/>
      <x:c r="X15" s="26" t="str"/>
      <x:c r="Y15" s="26" t="str"/>
      <x:c r="Z15" s="17" t="str"/>
      <x:c r="AA15" s="17" t="str"/>
      <x:c r="AB15" s="17" t="str"/>
      <x:c r="AC15" s="35" t="str"/>
      <x:c r="AD15" s="17" t="str"/>
      <x:c r="AE15" s="17" t="str"/>
      <x:c r="AF15" s="17" t="str"/>
      <x:c r="AG15" s="17" t="str"/>
      <x:c r="AH15" s="17" t="n">
        <x:v>43161.71163194445</x:v>
      </x:c>
      <x:c r="AI15" s="17" t="n">
        <x:v>45926.951689814814</x:v>
      </x:c>
      <x:c r="AJ15" s="17" t="str">
        <x:v>https://www.flexential.com/</x:v>
      </x:c>
      <x:c r="AK15" s="17" t="str">
        <x:v>https://www.peeringdb.com/api/fac?state=TN&amp;country=US</x:v>
      </x:c>
      <x:c r="AL15" s="23" t="str">
        <x:v>https://www.peeringdb.com/fac/5003</x:v>
      </x:c>
      <x:c r="AM15" s="23" t="str"/>
      <x:c r="AN15" s="17" t="str">
        <x:v>core_data_center</x:v>
      </x:c>
      <x:c r="AO15" s="77" t="b">
        <x:v>1</x:v>
      </x:c>
      <x:c r="AP15" s="23" t="str">
        <x:v>flexential</x:v>
      </x:c>
      <x:c r="AQ15" s="17" t="str">
        <x:v>flexential nashville brentwood nas01 04</x:v>
      </x:c>
      <x:c r="AR15" s="18" t="str">
        <x:v>7100 commerce way</x:v>
      </x:c>
    </x:row>
    <x:row r="16" ht="28" hidden="0" customHeight="1">
      <x:c r="A16" s="16" t="str">
        <x:v>peeringdb</x:v>
      </x:c>
      <x:c r="B16" s="23" t="str">
        <x:v>5004</x:v>
      </x:c>
      <x:c r="C16" s="23" t="str">
        <x:v>Flexential - Nashville/Cool Springs (NAS02/03)</x:v>
      </x:c>
      <x:c r="D16" s="17" t="str"/>
      <x:c r="E16" s="23" t="str">
        <x:v>Flexential Corp.</x:v>
      </x:c>
      <x:c r="F16" s="17" t="str"/>
      <x:c r="G16" s="23" t="str">
        <x:v>425 Duke Drive, Suite 400</x:v>
      </x:c>
      <x:c r="H16" s="17" t="str"/>
      <x:c r="I16" s="17" t="str">
        <x:v>Franklin</x:v>
      </x:c>
      <x:c r="J16" s="26" t="str"/>
      <x:c r="K16" s="17" t="str">
        <x:v>TN</x:v>
      </x:c>
      <x:c r="L16" s="17" t="str">
        <x:v>37067</x:v>
      </x:c>
      <x:c r="M16" s="29" t="str">
        <x:v>35.951091</x:v>
      </x:c>
      <x:c r="N16" s="29" t="str">
        <x:v>-86.833251</x:v>
      </x:c>
      <x:c r="O16" s="17" t="str">
        <x:v>address_or_site</x:v>
      </x:c>
      <x:c r="P16" s="17" t="str"/>
      <x:c r="Q16" s="17" t="str"/>
      <x:c r="R16" s="17" t="str">
        <x:v>ok</x:v>
      </x:c>
      <x:c r="S16" s="17" t="str">
        <x:v>operational</x:v>
      </x:c>
      <x:c r="T16" s="17" t="str">
        <x:v>interconnection_facility</x:v>
      </x:c>
      <x:c r="U16" s="17" t="str"/>
      <x:c r="V16" s="26" t="str"/>
      <x:c r="W16" s="26" t="str"/>
      <x:c r="X16" s="26" t="str"/>
      <x:c r="Y16" s="26" t="str"/>
      <x:c r="Z16" s="17" t="str"/>
      <x:c r="AA16" s="17" t="str"/>
      <x:c r="AB16" s="17" t="str"/>
      <x:c r="AC16" s="35" t="str"/>
      <x:c r="AD16" s="17" t="str"/>
      <x:c r="AE16" s="17" t="str"/>
      <x:c r="AF16" s="17" t="str"/>
      <x:c r="AG16" s="17" t="str"/>
      <x:c r="AH16" s="17" t="n">
        <x:v>43161.7121875</x:v>
      </x:c>
      <x:c r="AI16" s="17" t="n">
        <x:v>45926.951689814814</x:v>
      </x:c>
      <x:c r="AJ16" s="17" t="str">
        <x:v>https://www.flexential.com/</x:v>
      </x:c>
      <x:c r="AK16" s="17" t="str">
        <x:v>https://www.peeringdb.com/api/fac?state=TN&amp;country=US</x:v>
      </x:c>
      <x:c r="AL16" s="23" t="str">
        <x:v>https://www.peeringdb.com/fac/5004</x:v>
      </x:c>
      <x:c r="AM16" s="23" t="str"/>
      <x:c r="AN16" s="17" t="str">
        <x:v>core_data_center</x:v>
      </x:c>
      <x:c r="AO16" s="77" t="b">
        <x:v>1</x:v>
      </x:c>
      <x:c r="AP16" s="23" t="str">
        <x:v>flexential</x:v>
      </x:c>
      <x:c r="AQ16" s="17" t="str">
        <x:v>flexential nashville cool springs nas02 03</x:v>
      </x:c>
      <x:c r="AR16" s="18" t="str">
        <x:v>425 duke dr</x:v>
      </x:c>
    </x:row>
    <x:row r="17" ht="28" hidden="0" customHeight="1">
      <x:c r="A17" s="16" t="str">
        <x:v>peeringdb</x:v>
      </x:c>
      <x:c r="B17" s="23" t="str">
        <x:v>5005</x:v>
      </x:c>
      <x:c r="C17" s="23" t="str">
        <x:v>Flexential - Nashville/Franklin (NAS05/06)</x:v>
      </x:c>
      <x:c r="D17" s="17" t="str"/>
      <x:c r="E17" s="23" t="str">
        <x:v>Flexential Corp.</x:v>
      </x:c>
      <x:c r="F17" s="17" t="str"/>
      <x:c r="G17" s="23" t="str">
        <x:v>4600 Carothers Parkway</x:v>
      </x:c>
      <x:c r="H17" s="17" t="str"/>
      <x:c r="I17" s="17" t="str">
        <x:v>Franklin</x:v>
      </x:c>
      <x:c r="J17" s="26" t="str"/>
      <x:c r="K17" s="17" t="str">
        <x:v>TN</x:v>
      </x:c>
      <x:c r="L17" s="17" t="str">
        <x:v>37067</x:v>
      </x:c>
      <x:c r="M17" s="29" t="str">
        <x:v>35.92028</x:v>
      </x:c>
      <x:c r="N17" s="29" t="str">
        <x:v>-86.815618</x:v>
      </x:c>
      <x:c r="O17" s="17" t="str">
        <x:v>address_or_site</x:v>
      </x:c>
      <x:c r="P17" s="17" t="str"/>
      <x:c r="Q17" s="17" t="str"/>
      <x:c r="R17" s="17" t="str">
        <x:v>ok</x:v>
      </x:c>
      <x:c r="S17" s="17" t="str">
        <x:v>operational</x:v>
      </x:c>
      <x:c r="T17" s="17" t="str">
        <x:v>interconnection_facility</x:v>
      </x:c>
      <x:c r="U17" s="17" t="str"/>
      <x:c r="V17" s="26" t="str"/>
      <x:c r="W17" s="26" t="str"/>
      <x:c r="X17" s="26" t="str"/>
      <x:c r="Y17" s="26" t="str"/>
      <x:c r="Z17" s="17" t="str"/>
      <x:c r="AA17" s="17" t="str"/>
      <x:c r="AB17" s="17" t="str"/>
      <x:c r="AC17" s="35" t="str"/>
      <x:c r="AD17" s="17" t="str"/>
      <x:c r="AE17" s="17" t="str"/>
      <x:c r="AF17" s="17" t="str"/>
      <x:c r="AG17" s="17" t="str"/>
      <x:c r="AH17" s="17" t="n">
        <x:v>43161.71263888889</x:v>
      </x:c>
      <x:c r="AI17" s="17" t="n">
        <x:v>45926.951689814814</x:v>
      </x:c>
      <x:c r="AJ17" s="17" t="str">
        <x:v>https://www.flexential.com/</x:v>
      </x:c>
      <x:c r="AK17" s="17" t="str">
        <x:v>https://www.peeringdb.com/api/fac?state=TN&amp;country=US</x:v>
      </x:c>
      <x:c r="AL17" s="23" t="str">
        <x:v>https://www.peeringdb.com/fac/5005</x:v>
      </x:c>
      <x:c r="AM17" s="23" t="str"/>
      <x:c r="AN17" s="17" t="str">
        <x:v>core_data_center</x:v>
      </x:c>
      <x:c r="AO17" s="77" t="b">
        <x:v>1</x:v>
      </x:c>
      <x:c r="AP17" s="23" t="str">
        <x:v>flexential</x:v>
      </x:c>
      <x:c r="AQ17" s="17" t="str">
        <x:v>flexential nashville franklin nas05 06</x:v>
      </x:c>
      <x:c r="AR17" s="18" t="str">
        <x:v>4600 carothers pkwy</x:v>
      </x:c>
    </x:row>
    <x:row r="18" ht="28" hidden="0" customHeight="1">
      <x:c r="A18" s="16" t="str">
        <x:v>peeringdb</x:v>
      </x:c>
      <x:c r="B18" s="23" t="str">
        <x:v>5483</x:v>
      </x:c>
      <x:c r="C18" s="23" t="str">
        <x:v>Peace Communications NSH2</x:v>
      </x:c>
      <x:c r="D18" s="17" t="str">
        <x:v>Nexus Group Nashville</x:v>
      </x:c>
      <x:c r="E18" s="23" t="str">
        <x:v>Peace Communications (Formerly Nexus Group)</x:v>
      </x:c>
      <x:c r="F18" s="17" t="str"/>
      <x:c r="G18" s="23" t="str">
        <x:v>1661 Murfreesboro Pike</x:v>
      </x:c>
      <x:c r="H18" s="17" t="str"/>
      <x:c r="I18" s="17" t="str">
        <x:v>Nashville</x:v>
      </x:c>
      <x:c r="J18" s="26" t="str"/>
      <x:c r="K18" s="17" t="str">
        <x:v>TN</x:v>
      </x:c>
      <x:c r="L18" s="17" t="str">
        <x:v>37217</x:v>
      </x:c>
      <x:c r="M18" s="29" t="str">
        <x:v>36.103326</x:v>
      </x:c>
      <x:c r="N18" s="29" t="str">
        <x:v>-86.668932</x:v>
      </x:c>
      <x:c r="O18" s="17" t="str">
        <x:v>address_or_site</x:v>
      </x:c>
      <x:c r="P18" s="17" t="str"/>
      <x:c r="Q18" s="17" t="str"/>
      <x:c r="R18" s="17" t="str">
        <x:v>ok</x:v>
      </x:c>
      <x:c r="S18" s="17" t="str">
        <x:v>operational</x:v>
      </x:c>
      <x:c r="T18" s="17" t="str">
        <x:v>interconnection_facility</x:v>
      </x:c>
      <x:c r="U18" s="17" t="str"/>
      <x:c r="V18" s="26" t="str"/>
      <x:c r="W18" s="26" t="str"/>
      <x:c r="X18" s="26" t="str"/>
      <x:c r="Y18" s="26" t="str"/>
      <x:c r="Z18" s="17" t="str"/>
      <x:c r="AA18" s="17" t="str"/>
      <x:c r="AB18" s="17" t="str"/>
      <x:c r="AC18" s="35" t="str"/>
      <x:c r="AD18" s="17" t="str"/>
      <x:c r="AE18" s="17" t="str"/>
      <x:c r="AF18" s="17" t="str"/>
      <x:c r="AG18" s="17" t="str"/>
      <x:c r="AH18" s="17" t="n">
        <x:v>43271.764386574076</x:v>
      </x:c>
      <x:c r="AI18" s="17" t="n">
        <x:v>45926.95216435185</x:v>
      </x:c>
      <x:c r="AJ18" s="17" t="str">
        <x:v>http://nxs.net/nashville-data-center/</x:v>
      </x:c>
      <x:c r="AK18" s="17" t="str">
        <x:v>https://www.peeringdb.com/api/fac?state=TN&amp;country=US</x:v>
      </x:c>
      <x:c r="AL18" s="23" t="str">
        <x:v>https://www.peeringdb.com/fac/5483</x:v>
      </x:c>
      <x:c r="AM18" s="23" t="str"/>
      <x:c r="AN18" s="17" t="str">
        <x:v>core_data_center</x:v>
      </x:c>
      <x:c r="AO18" s="77" t="b">
        <x:v>1</x:v>
      </x:c>
      <x:c r="AP18" s="23" t="str">
        <x:v>peace communications formerly nexus group</x:v>
      </x:c>
      <x:c r="AQ18" s="17" t="str">
        <x:v>peace communications nsh2</x:v>
      </x:c>
      <x:c r="AR18" s="18" t="str">
        <x:v>1661 murfreesboro pike</x:v>
      </x:c>
    </x:row>
    <x:row r="19" ht="28" hidden="0" customHeight="1">
      <x:c r="A19" s="16" t="str">
        <x:v>peeringdb</x:v>
      </x:c>
      <x:c r="B19" s="23" t="str">
        <x:v>7217</x:v>
      </x:c>
      <x:c r="C19" s="23" t="str">
        <x:v>DC BLOX CHA1 - DCBLOX Chattanooga</x:v>
      </x:c>
      <x:c r="D19" s="17" t="str">
        <x:v>DC Blox CHA | DC Blox Chattanooga</x:v>
      </x:c>
      <x:c r="E19" s="23" t="str">
        <x:v>DC BLOX Parent LLC</x:v>
      </x:c>
      <x:c r="F19" s="17" t="str"/>
      <x:c r="G19" s="23" t="str">
        <x:v>807 E 16th St,</x:v>
      </x:c>
      <x:c r="H19" s="17" t="str"/>
      <x:c r="I19" s="17" t="str">
        <x:v>Chattanooga</x:v>
      </x:c>
      <x:c r="J19" s="26" t="str"/>
      <x:c r="K19" s="17" t="str">
        <x:v>TN</x:v>
      </x:c>
      <x:c r="L19" s="17" t="str">
        <x:v>37408</x:v>
      </x:c>
      <x:c r="M19" s="29" t="str">
        <x:v>35.031582</x:v>
      </x:c>
      <x:c r="N19" s="29" t="str">
        <x:v>-85.297262</x:v>
      </x:c>
      <x:c r="O19" s="17" t="str">
        <x:v>address_or_site</x:v>
      </x:c>
      <x:c r="P19" s="17" t="str"/>
      <x:c r="Q19" s="17" t="str"/>
      <x:c r="R19" s="17" t="str">
        <x:v>ok</x:v>
      </x:c>
      <x:c r="S19" s="17" t="str">
        <x:v>operational</x:v>
      </x:c>
      <x:c r="T19" s="17" t="str">
        <x:v>interconnection_facility</x:v>
      </x:c>
      <x:c r="U19" s="17" t="str"/>
      <x:c r="V19" s="26" t="str"/>
      <x:c r="W19" s="26" t="str"/>
      <x:c r="X19" s="26" t="str"/>
      <x:c r="Y19" s="26" t="str"/>
      <x:c r="Z19" s="17" t="str"/>
      <x:c r="AA19" s="17" t="str"/>
      <x:c r="AB19" s="17" t="str"/>
      <x:c r="AC19" s="35" t="str"/>
      <x:c r="AD19" s="17" t="str"/>
      <x:c r="AE19" s="17" t="str"/>
      <x:c r="AF19" s="17" t="str"/>
      <x:c r="AG19" s="17" t="str"/>
      <x:c r="AH19" s="17" t="n">
        <x:v>43691.727013888885</x:v>
      </x:c>
      <x:c r="AI19" s="17" t="n">
        <x:v>45926.953576388885</x:v>
      </x:c>
      <x:c r="AJ19" s="17" t="str">
        <x:v>https://www.dcblox.com/data-centers/chattanooga/</x:v>
      </x:c>
      <x:c r="AK19" s="17" t="str">
        <x:v>https://www.peeringdb.com/api/fac?state=TN&amp;country=US</x:v>
      </x:c>
      <x:c r="AL19" s="23" t="str">
        <x:v>https://www.peeringdb.com/fac/7217</x:v>
      </x:c>
      <x:c r="AM19" s="23" t="str">
        <x:v>Chattanooga, TN city downtown data center.</x:v>
      </x:c>
      <x:c r="AN19" s="17" t="str">
        <x:v>core_data_center</x:v>
      </x:c>
      <x:c r="AO19" s="77" t="b">
        <x:v>1</x:v>
      </x:c>
      <x:c r="AP19" s="23" t="str">
        <x:v>dc blox</x:v>
      </x:c>
      <x:c r="AQ19" s="17" t="str">
        <x:v>dc blox cha1 dcblox chattanooga</x:v>
      </x:c>
      <x:c r="AR19" s="18" t="str">
        <x:v>807 e 16th st</x:v>
      </x:c>
    </x:row>
    <x:row r="20" ht="28" hidden="0" customHeight="1">
      <x:c r="A20" s="16" t="str">
        <x:v>peeringdb</x:v>
      </x:c>
      <x:c r="B20" s="23" t="str">
        <x:v>8473</x:v>
      </x:c>
      <x:c r="C20" s="23" t="str">
        <x:v>Expedient Memphis</x:v>
      </x:c>
      <x:c r="D20" s="17" t="str"/>
      <x:c r="E20" s="23" t="str">
        <x:v>Expedient</x:v>
      </x:c>
      <x:c r="F20" s="17" t="str"/>
      <x:c r="G20" s="23" t="str">
        <x:v>3180 Players Lane</x:v>
      </x:c>
      <x:c r="H20" s="17" t="str"/>
      <x:c r="I20" s="17" t="str">
        <x:v>Memphis</x:v>
      </x:c>
      <x:c r="J20" s="26" t="str"/>
      <x:c r="K20" s="17" t="str">
        <x:v>TN</x:v>
      </x:c>
      <x:c r="L20" s="17" t="str">
        <x:v>38125</x:v>
      </x:c>
      <x:c r="M20" s="29" t="str">
        <x:v>35.062965</x:v>
      </x:c>
      <x:c r="N20" s="29" t="str">
        <x:v>-89.786143</x:v>
      </x:c>
      <x:c r="O20" s="17" t="str">
        <x:v>address_or_site</x:v>
      </x:c>
      <x:c r="P20" s="17" t="str"/>
      <x:c r="Q20" s="17" t="str"/>
      <x:c r="R20" s="17" t="str">
        <x:v>ok</x:v>
      </x:c>
      <x:c r="S20" s="17" t="str">
        <x:v>operational</x:v>
      </x:c>
      <x:c r="T20" s="17" t="str">
        <x:v>interconnection_facility</x:v>
      </x:c>
      <x:c r="U20" s="17" t="str"/>
      <x:c r="V20" s="26" t="str"/>
      <x:c r="W20" s="26" t="str"/>
      <x:c r="X20" s="26" t="str"/>
      <x:c r="Y20" s="26" t="str"/>
      <x:c r="Z20" s="17" t="str"/>
      <x:c r="AA20" s="17" t="str"/>
      <x:c r="AB20" s="17" t="str"/>
      <x:c r="AC20" s="35" t="str"/>
      <x:c r="AD20" s="17" t="str"/>
      <x:c r="AE20" s="17" t="str"/>
      <x:c r="AF20" s="17" t="str"/>
      <x:c r="AG20" s="17" t="str"/>
      <x:c r="AH20" s="17" t="n">
        <x:v>43941.52375</x:v>
      </x:c>
      <x:c r="AI20" s="17" t="n">
        <x:v>45926.954675925925</x:v>
      </x:c>
      <x:c r="AJ20" s="17" t="str">
        <x:v>https://www.expedient.com/data-centers/</x:v>
      </x:c>
      <x:c r="AK20" s="17" t="str">
        <x:v>https://www.peeringdb.com/api/fac?state=TN&amp;country=US</x:v>
      </x:c>
      <x:c r="AL20" s="23" t="str">
        <x:v>https://www.peeringdb.com/fac/8473</x:v>
      </x:c>
      <x:c r="AM20" s="23" t="str"/>
      <x:c r="AN20" s="17" t="str">
        <x:v>core_data_center</x:v>
      </x:c>
      <x:c r="AO20" s="77" t="b">
        <x:v>1</x:v>
      </x:c>
      <x:c r="AP20" s="23" t="str">
        <x:v>expedient</x:v>
      </x:c>
      <x:c r="AQ20" s="17" t="str">
        <x:v>expedient memphis</x:v>
      </x:c>
      <x:c r="AR20" s="18" t="str">
        <x:v>3180 players lane</x:v>
      </x:c>
    </x:row>
    <x:row r="21" ht="28" hidden="0" customHeight="1">
      <x:c r="A21" s="16" t="str">
        <x:v>peeringdb</x:v>
      </x:c>
      <x:c r="B21" s="23" t="str">
        <x:v>14177</x:v>
      </x:c>
      <x:c r="C21" s="23" t="str">
        <x:v>Peace Communications CHA1</x:v>
      </x:c>
      <x:c r="D21" s="17" t="str"/>
      <x:c r="E21" s="23" t="str">
        <x:v>Peace Communications</x:v>
      </x:c>
      <x:c r="F21" s="17" t="str"/>
      <x:c r="G21" s="23" t="str">
        <x:v>1100 E 11th Street</x:v>
      </x:c>
      <x:c r="H21" s="17" t="str"/>
      <x:c r="I21" s="17" t="str">
        <x:v>Chattanooga</x:v>
      </x:c>
      <x:c r="J21" s="26" t="str"/>
      <x:c r="K21" s="17" t="str">
        <x:v>TN</x:v>
      </x:c>
      <x:c r="L21" s="17" t="str">
        <x:v>37403</x:v>
      </x:c>
      <x:c r="M21" s="29" t="str">
        <x:v>35.03746</x:v>
      </x:c>
      <x:c r="N21" s="29" t="str">
        <x:v>-85.293181</x:v>
      </x:c>
      <x:c r="O21" s="17" t="str">
        <x:v>address_or_site</x:v>
      </x:c>
      <x:c r="P21" s="17" t="str"/>
      <x:c r="Q21" s="17" t="str"/>
      <x:c r="R21" s="17" t="str">
        <x:v>ok</x:v>
      </x:c>
      <x:c r="S21" s="17" t="str">
        <x:v>operational</x:v>
      </x:c>
      <x:c r="T21" s="17" t="str">
        <x:v>interconnection_facility</x:v>
      </x:c>
      <x:c r="U21" s="17" t="str"/>
      <x:c r="V21" s="26" t="str"/>
      <x:c r="W21" s="26" t="str"/>
      <x:c r="X21" s="26" t="str"/>
      <x:c r="Y21" s="26" t="str"/>
      <x:c r="Z21" s="17" t="str"/>
      <x:c r="AA21" s="17" t="str"/>
      <x:c r="AB21" s="17" t="str"/>
      <x:c r="AC21" s="35" t="str"/>
      <x:c r="AD21" s="17" t="str"/>
      <x:c r="AE21" s="17" t="str"/>
      <x:c r="AF21" s="17" t="str"/>
      <x:c r="AG21" s="17" t="str"/>
      <x:c r="AH21" s="17" t="n">
        <x:v>45217.7277662037</x:v>
      </x:c>
      <x:c r="AI21" s="17" t="n">
        <x:v>45926.96059027778</x:v>
      </x:c>
      <x:c r="AJ21" s="17" t="str">
        <x:v>https://www.peacecom.net/pages/colocation</x:v>
      </x:c>
      <x:c r="AK21" s="17" t="str">
        <x:v>https://www.peeringdb.com/api/fac?state=TN&amp;country=US</x:v>
      </x:c>
      <x:c r="AL21" s="23" t="str">
        <x:v>https://www.peeringdb.com/fac/14177</x:v>
      </x:c>
      <x:c r="AM21" s="23" t="str"/>
      <x:c r="AN21" s="17" t="str">
        <x:v>core_data_center</x:v>
      </x:c>
      <x:c r="AO21" s="77" t="b">
        <x:v>1</x:v>
      </x:c>
      <x:c r="AP21" s="23" t="str">
        <x:v>peace communications</x:v>
      </x:c>
      <x:c r="AQ21" s="17" t="str">
        <x:v>peace communications cha1</x:v>
      </x:c>
      <x:c r="AR21" s="18" t="str">
        <x:v>1100 e 11th st</x:v>
      </x:c>
    </x:row>
    <x:row r="22" ht="28" hidden="0" customHeight="1">
      <x:c r="A22" s="16" t="str">
        <x:v>fractracker</x:v>
      </x:c>
      <x:c r="B22" s="23" t="str">
        <x:v>493</x:v>
      </x:c>
      <x:c r="C22" s="23" t="str">
        <x:v>DC Blox</x:v>
      </x:c>
      <x:c r="D22" s="17" t="str"/>
      <x:c r="E22" s="23" t="str"/>
      <x:c r="F22" s="17" t="str"/>
      <x:c r="G22" s="23" t="str">
        <x:v>807 E 16th St</x:v>
      </x:c>
      <x:c r="H22" s="17" t="str"/>
      <x:c r="I22" s="17" t="str">
        <x:v>Chattanooga</x:v>
      </x:c>
      <x:c r="J22" s="26" t="str">
        <x:v>Hamilton</x:v>
      </x:c>
      <x:c r="K22" s="17" t="str">
        <x:v>TN</x:v>
      </x:c>
      <x:c r="L22" s="17" t="str">
        <x:v>37408</x:v>
      </x:c>
      <x:c r="M22" s="29" t="str">
        <x:v>35.03158</x:v>
      </x:c>
      <x:c r="N22" s="29" t="str">
        <x:v>-85.2973</x:v>
      </x:c>
      <x:c r="O22" s="17" t="str">
        <x:v>address_or_site</x:v>
      </x:c>
      <x:c r="P22" s="17" t="str">
        <x:v>High</x:v>
      </x:c>
      <x:c r="Q22" s="17" t="str">
        <x:v>Google Maps only</x:v>
      </x:c>
      <x:c r="R22" s="17" t="str">
        <x:v>Operating</x:v>
      </x:c>
      <x:c r="S22" s="17" t="str">
        <x:v>operational</x:v>
      </x:c>
      <x:c r="T22" s="17" t="str">
        <x:v>data_center</x:v>
      </x:c>
      <x:c r="U22" s="17" t="str"/>
      <x:c r="V22" s="26" t="str"/>
      <x:c r="W22" s="26" t="str"/>
      <x:c r="X22" s="26" t="str"/>
      <x:c r="Y22" s="26" t="str"/>
      <x:c r="Z22" s="17" t="str"/>
      <x:c r="AA22" s="17" t="str"/>
      <x:c r="AB22" s="17" t="str"/>
      <x:c r="AC22" s="35" t="str"/>
      <x:c r="AD22" s="17" t="str"/>
      <x:c r="AE22" s="17" t="str"/>
      <x:c r="AF22" s="17" t="str"/>
      <x:c r="AG22" s="17" t="str"/>
      <x:c r="AH22" s="17" t="n">
        <x:v>45894</x:v>
      </x:c>
      <x:c r="AI22" s="17" t="n">
        <x:v>45894</x:v>
      </x:c>
      <x:c r="AJ22" s="17" t="str">
        <x:v>https://services.arcgis.com/jDGuO8tYggdCCnUJ/arcgis/rest/services/data_centers_v4_agol_all/FeatureServer/0</x:v>
      </x:c>
      <x:c r="AK22" s="17" t="str">
        <x:v>https://services.arcgis.com/jDGuO8tYggdCCnUJ/arcgis/rest/services/data_centers_v4_agol_all/FeatureServer/0</x:v>
      </x:c>
      <x:c r="AL22" s="23" t="str">
        <x:v>https://services.arcgis.com/jDGuO8tYggdCCnUJ/arcgis/rest/services/data_centers_v4_agol_all/FeatureServer/0</x:v>
      </x:c>
      <x:c r="AM22" s="23" t="str"/>
      <x:c r="AN22" s="17" t="str">
        <x:v>core_data_center</x:v>
      </x:c>
      <x:c r="AO22" s="77" t="b">
        <x:v>1</x:v>
      </x:c>
      <x:c r="AP22" s="23" t="str"/>
      <x:c r="AQ22" s="17" t="str">
        <x:v>dc blox</x:v>
      </x:c>
      <x:c r="AR22" s="18" t="str">
        <x:v>807 e 16th st</x:v>
      </x:c>
    </x:row>
    <x:row r="23" ht="28" hidden="0" customHeight="1">
      <x:c r="A23" s="16" t="str">
        <x:v>fractracker</x:v>
      </x:c>
      <x:c r="B23" s="23" t="str">
        <x:v>1768853682905-5418</x:v>
      </x:c>
      <x:c r="C23" s="23" t="str">
        <x:v>Jailhouse Studios Data Center</x:v>
      </x:c>
      <x:c r="D23" s="17" t="str"/>
      <x:c r="E23" s="23" t="str"/>
      <x:c r="F23" s="17" t="str"/>
      <x:c r="G23" s="23" t="str">
        <x:v>601 Walnut St</x:v>
      </x:c>
      <x:c r="H23" s="17" t="str"/>
      <x:c r="I23" s="17" t="str">
        <x:v>Chattanooga</x:v>
      </x:c>
      <x:c r="J23" s="26" t="str">
        <x:v>Hamilton</x:v>
      </x:c>
      <x:c r="K23" s="17" t="str">
        <x:v>TN</x:v>
      </x:c>
      <x:c r="L23" s="17" t="str">
        <x:v>37402</x:v>
      </x:c>
      <x:c r="M23" s="29" t="str">
        <x:v>35.049557</x:v>
      </x:c>
      <x:c r="N23" s="29" t="str">
        <x:v>-85.30803</x:v>
      </x:c>
      <x:c r="O23" s="17" t="str">
        <x:v>address_or_site</x:v>
      </x:c>
      <x:c r="P23" s="17" t="str">
        <x:v>High</x:v>
      </x:c>
      <x:c r="Q23" s="17" t="str">
        <x:v>Google Maps and other sources</x:v>
      </x:c>
      <x:c r="R23" s="17" t="str">
        <x:v>Approved/Permitted/Under construction</x:v>
      </x:c>
      <x:c r="S23" s="17" t="str">
        <x:v>under_construction</x:v>
      </x:c>
      <x:c r="T23" s="17" t="str">
        <x:v>data_center</x:v>
      </x:c>
      <x:c r="U23" s="17" t="str"/>
      <x:c r="V23" s="26" t="str"/>
      <x:c r="W23" s="26" t="str"/>
      <x:c r="X23" s="26" t="str"/>
      <x:c r="Y23" s="26" t="str"/>
      <x:c r="Z23" s="17" t="str"/>
      <x:c r="AA23" s="17" t="str"/>
      <x:c r="AB23" s="17" t="str"/>
      <x:c r="AC23" s="35" t="str"/>
      <x:c r="AD23" s="17" t="str"/>
      <x:c r="AE23" s="17" t="str"/>
      <x:c r="AF23" s="17" t="str"/>
      <x:c r="AG23" s="17" t="str"/>
      <x:c r="AH23" s="17" t="n">
        <x:v>46041</x:v>
      </x:c>
      <x:c r="AI23" s="17" t="n">
        <x:v>46041</x:v>
      </x:c>
      <x:c r="AJ23" s="17" t="str">
        <x:v>https://foxchattanooga.com/news/local/hamilton-county-advances-plan-to-convert-old-jail-into-ai-data-center-and-music-studio | https://www.chattanoogan.com/2026/3/18/516194/County-Commission-Approves-Lease-For.aspx | https://www.datacenterdynamics.com/en/news/former-jail-in-chattanooga-tennessee-targeted-for-production-space-and-data-center/</x:v>
      </x:c>
      <x:c r="AK23" s="17" t="str">
        <x:v>https://services.arcgis.com/jDGuO8tYggdCCnUJ/arcgis/rest/services/data_centers_v4_agol_all/FeatureServer/0</x:v>
      </x:c>
      <x:c r="AL23" s="23" t="str">
        <x:v>https://services.arcgis.com/jDGuO8tYggdCCnUJ/arcgis/rest/services/data_centers_v4_agol_all/FeatureServer/0</x:v>
      </x:c>
      <x:c r="AM23" s="23" t="str">
        <x:v>Tiny data center, only 10 racks of servers</x:v>
      </x:c>
      <x:c r="AN23" s="17" t="str">
        <x:v>core_data_center</x:v>
      </x:c>
      <x:c r="AO23" s="77" t="b">
        <x:v>1</x:v>
      </x:c>
      <x:c r="AP23" s="23" t="str"/>
      <x:c r="AQ23" s="17" t="str">
        <x:v>jailhouse studios data center</x:v>
      </x:c>
      <x:c r="AR23" s="18" t="str">
        <x:v>601 walnut st</x:v>
      </x:c>
    </x:row>
    <x:row r="24" ht="28" hidden="0" customHeight="1">
      <x:c r="A24" s="16" t="str">
        <x:v>fractracker</x:v>
      </x:c>
      <x:c r="B24" s="23" t="str">
        <x:v>495</x:v>
      </x:c>
      <x:c r="C24" s="23" t="str">
        <x:v>Cielo Digital Infrastructure</x:v>
      </x:c>
      <x:c r="D24" s="17" t="str"/>
      <x:c r="E24" s="23" t="str"/>
      <x:c r="F24" s="17" t="str"/>
      <x:c r="G24" s="23" t="str"/>
      <x:c r="H24" s="17" t="str"/>
      <x:c r="I24" s="17" t="str">
        <x:v>Clarksville</x:v>
      </x:c>
      <x:c r="J24" s="26" t="str">
        <x:v>Montgomery</x:v>
      </x:c>
      <x:c r="K24" s="17" t="str">
        <x:v>TN</x:v>
      </x:c>
      <x:c r="L24" s="17" t="str">
        <x:v>37040</x:v>
      </x:c>
      <x:c r="M24" s="29" t="str">
        <x:v>36.57269</x:v>
      </x:c>
      <x:c r="N24" s="29" t="str">
        <x:v>-87.3423</x:v>
      </x:c>
      <x:c r="O24" s="17" t="str">
        <x:v>area_or_city</x:v>
      </x:c>
      <x:c r="P24" s="17" t="str">
        <x:v>Low</x:v>
      </x:c>
      <x:c r="Q24" s="17" t="str">
        <x:v>Google Maps and other sources</x:v>
      </x:c>
      <x:c r="R24" s="17" t="str">
        <x:v>Proposed</x:v>
      </x:c>
      <x:c r="S24" s="17" t="str">
        <x:v>proposed</x:v>
      </x:c>
      <x:c r="T24" s="17" t="str">
        <x:v>data_center</x:v>
      </x:c>
      <x:c r="U24" s="17" t="str"/>
      <x:c r="V24" s="26" t="str">
        <x:v>350</x:v>
      </x:c>
      <x:c r="W24" s="26" t="str">
        <x:v>350</x:v>
      </x:c>
      <x:c r="X24" s="26" t="str">
        <x:v>350</x:v>
      </x:c>
      <x:c r="Y24" s="26" t="str"/>
      <x:c r="Z24" s="17" t="str">
        <x:v>107</x:v>
      </x:c>
      <x:c r="AA24" s="17" t="str"/>
      <x:c r="AB24" s="17" t="str"/>
      <x:c r="AC24" s="35" t="str"/>
      <x:c r="AD24" s="17" t="str"/>
      <x:c r="AE24" s="17" t="str"/>
      <x:c r="AF24" s="17" t="str"/>
      <x:c r="AG24" s="17" t="str"/>
      <x:c r="AH24" s="17" t="n">
        <x:v>45832</x:v>
      </x:c>
      <x:c r="AI24" s="17" t="n">
        <x:v>45832</x:v>
      </x:c>
      <x:c r="AJ24" s="17" t="str">
        <x:v>https://www.datacenterdynamics.com/en/news/cielo-digital-infrastructure-plans-300mw-data-center-campus-in-south-carolina/</x:v>
      </x:c>
      <x:c r="AK24" s="17" t="str">
        <x:v>https://services.arcgis.com/jDGuO8tYggdCCnUJ/arcgis/rest/services/data_centers_v4_agol_all/FeatureServer/0</x:v>
      </x:c>
      <x:c r="AL24" s="23" t="str">
        <x:v>https://services.arcgis.com/jDGuO8tYggdCCnUJ/arcgis/rest/services/data_centers_v4_agol_all/FeatureServer/0</x:v>
      </x:c>
      <x:c r="AM24" s="23" t="str"/>
      <x:c r="AN24" s="17" t="str">
        <x:v>core_data_center</x:v>
      </x:c>
      <x:c r="AO24" s="77" t="b">
        <x:v>1</x:v>
      </x:c>
      <x:c r="AP24" s="23" t="str"/>
      <x:c r="AQ24" s="17" t="str">
        <x:v>cielo digital infrastructure</x:v>
      </x:c>
      <x:c r="AR24" s="18" t="str"/>
    </x:row>
    <x:row r="25" ht="28" hidden="0" customHeight="1">
      <x:c r="A25" s="16" t="str">
        <x:v>fractracker</x:v>
      </x:c>
      <x:c r="B25" s="23" t="str">
        <x:v>494</x:v>
      </x:c>
      <x:c r="C25" s="23" t="str">
        <x:v>Google Clarksville Data Center</x:v>
      </x:c>
      <x:c r="D25" s="17" t="str"/>
      <x:c r="E25" s="23" t="str">
        <x:v>Google</x:v>
      </x:c>
      <x:c r="F25" s="17" t="str"/>
      <x:c r="G25" s="23" t="str">
        <x:v>1000 Boolean Dr</x:v>
      </x:c>
      <x:c r="H25" s="17" t="str"/>
      <x:c r="I25" s="17" t="str">
        <x:v>Clarksville</x:v>
      </x:c>
      <x:c r="J25" s="26" t="str">
        <x:v>Montgomery</x:v>
      </x:c>
      <x:c r="K25" s="17" t="str">
        <x:v>TN</x:v>
      </x:c>
      <x:c r="L25" s="17" t="str">
        <x:v>37040</x:v>
      </x:c>
      <x:c r="M25" s="29" t="str">
        <x:v>36.62078</x:v>
      </x:c>
      <x:c r="N25" s="29" t="str">
        <x:v>-87.2622</x:v>
      </x:c>
      <x:c r="O25" s="17" t="str">
        <x:v>address_or_site</x:v>
      </x:c>
      <x:c r="P25" s="17" t="str">
        <x:v>High</x:v>
      </x:c>
      <x:c r="Q25" s="17" t="str">
        <x:v>Google Maps only</x:v>
      </x:c>
      <x:c r="R25" s="17" t="str">
        <x:v>Operating</x:v>
      </x:c>
      <x:c r="S25" s="17" t="str">
        <x:v>operational</x:v>
      </x:c>
      <x:c r="T25" s="17" t="str">
        <x:v>data_center</x:v>
      </x:c>
      <x:c r="U25" s="17" t="str"/>
      <x:c r="V25" s="26" t="str"/>
      <x:c r="W25" s="26" t="str"/>
      <x:c r="X25" s="26" t="str"/>
      <x:c r="Y25" s="26" t="str"/>
      <x:c r="Z25" s="17" t="str"/>
      <x:c r="AA25" s="17" t="str"/>
      <x:c r="AB25" s="17" t="str"/>
      <x:c r="AC25" s="35" t="str">
        <x:v>$600 million</x:v>
      </x:c>
      <x:c r="AD25" s="17" t="str"/>
      <x:c r="AE25" s="17" t="str"/>
      <x:c r="AF25" s="17" t="str"/>
      <x:c r="AG25" s="17" t="str"/>
      <x:c r="AH25" s="17" t="n">
        <x:v>45804</x:v>
      </x:c>
      <x:c r="AI25" s="17" t="n">
        <x:v>45804</x:v>
      </x:c>
      <x:c r="AJ25" s="17" t="str">
        <x:v>https://services.arcgis.com/jDGuO8tYggdCCnUJ/arcgis/rest/services/data_centers_v4_agol_all/FeatureServer/0</x:v>
      </x:c>
      <x:c r="AK25" s="17" t="str">
        <x:v>https://services.arcgis.com/jDGuO8tYggdCCnUJ/arcgis/rest/services/data_centers_v4_agol_all/FeatureServer/0</x:v>
      </x:c>
      <x:c r="AL25" s="23" t="str">
        <x:v>https://services.arcgis.com/jDGuO8tYggdCCnUJ/arcgis/rest/services/data_centers_v4_agol_all/FeatureServer/0</x:v>
      </x:c>
      <x:c r="AM25" s="23" t="str"/>
      <x:c r="AN25" s="17" t="str">
        <x:v>core_data_center</x:v>
      </x:c>
      <x:c r="AO25" s="77" t="b">
        <x:v>1</x:v>
      </x:c>
      <x:c r="AP25" s="23" t="str">
        <x:v>google</x:v>
      </x:c>
      <x:c r="AQ25" s="17" t="str">
        <x:v>google clarksville data center</x:v>
      </x:c>
      <x:c r="AR25" s="18" t="str">
        <x:v>1000 boolean dr</x:v>
      </x:c>
    </x:row>
    <x:row r="26" ht="28" hidden="0" customHeight="1">
      <x:c r="A26" s="16" t="str">
        <x:v>fractracker</x:v>
      </x:c>
      <x:c r="B26" s="23" t="str">
        <x:v>496</x:v>
      </x:c>
      <x:c r="C26" s="23" t="str">
        <x:v>Gallatin Data Center</x:v>
      </x:c>
      <x:c r="D26" s="17" t="str"/>
      <x:c r="E26" s="23" t="str">
        <x:v>Meta</x:v>
      </x:c>
      <x:c r="F26" s="17" t="str"/>
      <x:c r="G26" s="23" t="str">
        <x:v>One Meta Lp</x:v>
      </x:c>
      <x:c r="H26" s="17" t="str"/>
      <x:c r="I26" s="17" t="str">
        <x:v>Gallatin</x:v>
      </x:c>
      <x:c r="J26" s="26" t="str">
        <x:v>Sumner</x:v>
      </x:c>
      <x:c r="K26" s="17" t="str">
        <x:v>TN</x:v>
      </x:c>
      <x:c r="L26" s="17" t="str">
        <x:v>37066</x:v>
      </x:c>
      <x:c r="M26" s="29" t="str">
        <x:v>36.41011</x:v>
      </x:c>
      <x:c r="N26" s="29" t="str">
        <x:v>-86.3724</x:v>
      </x:c>
      <x:c r="O26" s="17" t="str">
        <x:v>address_or_site</x:v>
      </x:c>
      <x:c r="P26" s="17" t="str">
        <x:v>High</x:v>
      </x:c>
      <x:c r="Q26" s="17" t="str">
        <x:v>Google Maps only</x:v>
      </x:c>
      <x:c r="R26" s="17" t="str">
        <x:v>Operating</x:v>
      </x:c>
      <x:c r="S26" s="17" t="str">
        <x:v>operational</x:v>
      </x:c>
      <x:c r="T26" s="17" t="str">
        <x:v>data_center</x:v>
      </x:c>
      <x:c r="U26" s="17" t="str"/>
      <x:c r="V26" s="26" t="str"/>
      <x:c r="W26" s="26" t="str"/>
      <x:c r="X26" s="26" t="str"/>
      <x:c r="Y26" s="26" t="str">
        <x:v>1900000</x:v>
      </x:c>
      <x:c r="Z26" s="17" t="str"/>
      <x:c r="AA26" s="17" t="str"/>
      <x:c r="AB26" s="17" t="str"/>
      <x:c r="AC26" s="35" t="str"/>
      <x:c r="AD26" s="17" t="str"/>
      <x:c r="AE26" s="17" t="str"/>
      <x:c r="AF26" s="17" t="str"/>
      <x:c r="AG26" s="17" t="str"/>
      <x:c r="AH26" s="17" t="n">
        <x:v>45880</x:v>
      </x:c>
      <x:c r="AI26" s="17" t="n">
        <x:v>45880</x:v>
      </x:c>
      <x:c r="AJ26" s="17" t="str">
        <x:v>https://www.datacenterdynamics.com/en/news/meta-to-expand-tennessee-data-center-campus/</x:v>
      </x:c>
      <x:c r="AK26" s="17" t="str">
        <x:v>https://services.arcgis.com/jDGuO8tYggdCCnUJ/arcgis/rest/services/data_centers_v4_agol_all/FeatureServer/0</x:v>
      </x:c>
      <x:c r="AL26" s="23" t="str">
        <x:v>https://services.arcgis.com/jDGuO8tYggdCCnUJ/arcgis/rest/services/data_centers_v4_agol_all/FeatureServer/0</x:v>
      </x:c>
      <x:c r="AM26" s="23" t="str"/>
      <x:c r="AN26" s="17" t="str">
        <x:v>core_data_center</x:v>
      </x:c>
      <x:c r="AO26" s="77" t="b">
        <x:v>1</x:v>
      </x:c>
      <x:c r="AP26" s="23" t="str">
        <x:v>meta</x:v>
      </x:c>
      <x:c r="AQ26" s="17" t="str">
        <x:v>gallatin data center</x:v>
      </x:c>
      <x:c r="AR26" s="18" t="str">
        <x:v>one meta lp</x:v>
      </x:c>
    </x:row>
    <x:row r="27" ht="28" hidden="0" customHeight="1">
      <x:c r="A27" s="16" t="str">
        <x:v>fractracker</x:v>
      </x:c>
      <x:c r="B27" s="23" t="str">
        <x:v>497</x:v>
      </x:c>
      <x:c r="C27" s="23" t="str">
        <x:v>Arnold Air Force Base Data Center</x:v>
      </x:c>
      <x:c r="D27" s="17" t="str"/>
      <x:c r="E27" s="23" t="str"/>
      <x:c r="F27" s="17" t="str"/>
      <x:c r="G27" s="23" t="str"/>
      <x:c r="H27" s="17" t="str"/>
      <x:c r="I27" s="17" t="str">
        <x:v>Manchester</x:v>
      </x:c>
      <x:c r="J27" s="26" t="str">
        <x:v>Coffee</x:v>
      </x:c>
      <x:c r="K27" s="17" t="str">
        <x:v>TN</x:v>
      </x:c>
      <x:c r="L27" s="17" t="str">
        <x:v>37355</x:v>
      </x:c>
      <x:c r="M27" s="29" t="str">
        <x:v>35.37539</x:v>
      </x:c>
      <x:c r="N27" s="29" t="str">
        <x:v>-86.07293</x:v>
      </x:c>
      <x:c r="O27" s="17" t="str">
        <x:v>approximate_site</x:v>
      </x:c>
      <x:c r="P27" s="17" t="str">
        <x:v>Medium</x:v>
      </x:c>
      <x:c r="Q27" s="17" t="str">
        <x:v>Google Maps and other sources</x:v>
      </x:c>
      <x:c r="R27" s="17" t="str">
        <x:v>Proposed</x:v>
      </x:c>
      <x:c r="S27" s="17" t="str">
        <x:v>proposed</x:v>
      </x:c>
      <x:c r="T27" s="17" t="str">
        <x:v>data_center</x:v>
      </x:c>
      <x:c r="U27" s="17" t="str"/>
      <x:c r="V27" s="26" t="str"/>
      <x:c r="W27" s="26" t="str"/>
      <x:c r="X27" s="26" t="str"/>
      <x:c r="Y27" s="26" t="str"/>
      <x:c r="Z27" s="17" t="str">
        <x:v>274</x:v>
      </x:c>
      <x:c r="AA27" s="17" t="str"/>
      <x:c r="AB27" s="17" t="str"/>
      <x:c r="AC27" s="35" t="str"/>
      <x:c r="AD27" s="17" t="str"/>
      <x:c r="AE27" s="17" t="str"/>
      <x:c r="AF27" s="17" t="str"/>
      <x:c r="AG27" s="17" t="str"/>
      <x:c r="AH27" s="17" t="n">
        <x:v>45951</x:v>
      </x:c>
      <x:c r="AI27" s="17" t="n">
        <x:v>45951</x:v>
      </x:c>
      <x:c r="AJ27" s="17" t="str">
        <x:v>https://www.datacenterdynamics.com/en/news/us-department-of-the-air-force-accepting-proposals-for-ai-data-centers-in-military-bases/</x:v>
      </x:c>
      <x:c r="AK27" s="17" t="str">
        <x:v>https://services.arcgis.com/jDGuO8tYggdCCnUJ/arcgis/rest/services/data_centers_v4_agol_all/FeatureServer/0</x:v>
      </x:c>
      <x:c r="AL27" s="23" t="str">
        <x:v>https://services.arcgis.com/jDGuO8tYggdCCnUJ/arcgis/rest/services/data_centers_v4_agol_all/FeatureServer/0</x:v>
      </x:c>
      <x:c r="AM27" s="23" t="str"/>
      <x:c r="AN27" s="17" t="str">
        <x:v>core_data_center</x:v>
      </x:c>
      <x:c r="AO27" s="77" t="b">
        <x:v>1</x:v>
      </x:c>
      <x:c r="AP27" s="23" t="str"/>
      <x:c r="AQ27" s="17" t="str">
        <x:v>arnold air force base data center</x:v>
      </x:c>
      <x:c r="AR27" s="18" t="str"/>
    </x:row>
    <x:row r="28" ht="28" hidden="0" customHeight="1">
      <x:c r="A28" s="16" t="str">
        <x:v>fractracker</x:v>
      </x:c>
      <x:c r="B28" s="23" t="str">
        <x:v>1780024884691-1880</x:v>
      </x:c>
      <x:c r="C28" s="23" t="str">
        <x:v>Hixson Data Center</x:v>
      </x:c>
      <x:c r="D28" s="17" t="str"/>
      <x:c r="E28" s="23" t="str"/>
      <x:c r="F28" s="17" t="str"/>
      <x:c r="G28" s="23" t="str">
        <x:v>possibly Bybee Branch Rd</x:v>
      </x:c>
      <x:c r="H28" s="17" t="str"/>
      <x:c r="I28" s="17" t="str">
        <x:v>McMinnville</x:v>
      </x:c>
      <x:c r="J28" s="26" t="str">
        <x:v>Warren</x:v>
      </x:c>
      <x:c r="K28" s="17" t="str">
        <x:v>TN</x:v>
      </x:c>
      <x:c r="L28" s="17" t="str">
        <x:v>37110</x:v>
      </x:c>
      <x:c r="M28" s="29" t="str">
        <x:v>35.718937</x:v>
      </x:c>
      <x:c r="N28" s="29" t="str">
        <x:v>-85.83887</x:v>
      </x:c>
      <x:c r="O28" s="17" t="str">
        <x:v>area_or_city</x:v>
      </x:c>
      <x:c r="P28" s="17" t="str">
        <x:v>Low</x:v>
      </x:c>
      <x:c r="Q28" s="17" t="str">
        <x:v>Google Maps and other sources</x:v>
      </x:c>
      <x:c r="R28" s="17" t="str">
        <x:v>Proposed</x:v>
      </x:c>
      <x:c r="S28" s="17" t="str">
        <x:v>proposed</x:v>
      </x:c>
      <x:c r="T28" s="17" t="str">
        <x:v>data_center</x:v>
      </x:c>
      <x:c r="U28" s="17" t="str"/>
      <x:c r="V28" s="26" t="str">
        <x:v>25</x:v>
      </x:c>
      <x:c r="W28" s="26" t="str">
        <x:v>25</x:v>
      </x:c>
      <x:c r="X28" s="26" t="str">
        <x:v>25</x:v>
      </x:c>
      <x:c r="Y28" s="26" t="str">
        <x:v>96065</x:v>
      </x:c>
      <x:c r="Z28" s="17" t="str"/>
      <x:c r="AA28" s="17" t="str"/>
      <x:c r="AB28" s="17" t="str"/>
      <x:c r="AC28" s="35" t="str"/>
      <x:c r="AD28" s="17" t="str">
        <x:v>Fuel Cells</x:v>
      </x:c>
      <x:c r="AE28" s="17" t="str"/>
      <x:c r="AF28" s="17" t="str"/>
      <x:c r="AG28" s="17" t="str"/>
      <x:c r="AH28" s="17" t="n">
        <x:v>46170</x:v>
      </x:c>
      <x:c r="AI28" s="17" t="n">
        <x:v>46170</x:v>
      </x:c>
      <x:c r="AJ28" s="17" t="str">
        <x:v>https://hixsondc.com/ | https://warrencountyecd.com/site/mcminnville-warren-digital-site/ | https://www.datacenterdynamics.com/en/news/25mw-ai-data-center-to-be-built-in-mcminnville-tennessee/</x:v>
      </x:c>
      <x:c r="AK28" s="17" t="str">
        <x:v>https://services.arcgis.com/jDGuO8tYggdCCnUJ/arcgis/rest/services/data_centers_v4_agol_all/FeatureServer/0</x:v>
      </x:c>
      <x:c r="AL28" s="23" t="str">
        <x:v>https://services.arcgis.com/jDGuO8tYggdCCnUJ/arcgis/rest/services/data_centers_v4_agol_all/FeatureServer/0</x:v>
      </x:c>
      <x:c r="AM28" s="23" t="str">
        <x:v>25MW batteries on site</x:v>
      </x:c>
      <x:c r="AN28" s="17" t="str">
        <x:v>core_data_center</x:v>
      </x:c>
      <x:c r="AO28" s="77" t="b">
        <x:v>1</x:v>
      </x:c>
      <x:c r="AP28" s="23" t="str"/>
      <x:c r="AQ28" s="17" t="str">
        <x:v>hixson data center</x:v>
      </x:c>
      <x:c r="AR28" s="18" t="str">
        <x:v>possibly bybee branch rd</x:v>
      </x:c>
    </x:row>
    <x:row r="29" ht="28" hidden="0" customHeight="1">
      <x:c r="A29" s="16" t="str">
        <x:v>fractracker</x:v>
      </x:c>
      <x:c r="B29" s="23" t="str">
        <x:v>499</x:v>
      </x:c>
      <x:c r="C29" s="23" t="str">
        <x:v>xAI Colossus 1</x:v>
      </x:c>
      <x:c r="D29" s="17" t="str"/>
      <x:c r="E29" s="23" t="str">
        <x:v>xAI</x:v>
      </x:c>
      <x:c r="F29" s="17" t="str"/>
      <x:c r="G29" s="23" t="str">
        <x:v>3231 Riverport Rd/ Paul Lowry Rd</x:v>
      </x:c>
      <x:c r="H29" s="17" t="str"/>
      <x:c r="I29" s="17" t="str">
        <x:v>Memphis</x:v>
      </x:c>
      <x:c r="J29" s="26" t="str">
        <x:v>Shelby</x:v>
      </x:c>
      <x:c r="K29" s="17" t="str">
        <x:v>TN</x:v>
      </x:c>
      <x:c r="L29" s="17" t="str">
        <x:v>38109</x:v>
      </x:c>
      <x:c r="M29" s="29" t="str">
        <x:v>35.05983</x:v>
      </x:c>
      <x:c r="N29" s="29" t="str">
        <x:v>-90.1562</x:v>
      </x:c>
      <x:c r="O29" s="17" t="str">
        <x:v>address_or_site</x:v>
      </x:c>
      <x:c r="P29" s="17" t="str">
        <x:v>High</x:v>
      </x:c>
      <x:c r="Q29" s="17" t="str">
        <x:v>Google Maps and other sources</x:v>
      </x:c>
      <x:c r="R29" s="17" t="str">
        <x:v>Operating</x:v>
      </x:c>
      <x:c r="S29" s="17" t="str">
        <x:v>operational</x:v>
      </x:c>
      <x:c r="T29" s="17" t="str">
        <x:v>data_center</x:v>
      </x:c>
      <x:c r="U29" s="17" t="str"/>
      <x:c r="V29" s="26" t="str">
        <x:v>498</x:v>
      </x:c>
      <x:c r="W29" s="26" t="str">
        <x:v>498</x:v>
      </x:c>
      <x:c r="X29" s="26" t="str">
        <x:v>498</x:v>
      </x:c>
      <x:c r="Y29" s="26" t="str"/>
      <x:c r="Z29" s="17" t="str"/>
      <x:c r="AA29" s="17" t="str"/>
      <x:c r="AB29" s="17" t="str"/>
      <x:c r="AC29" s="35" t="str"/>
      <x:c r="AD29" s="17" t="str"/>
      <x:c r="AE29" s="17" t="str"/>
      <x:c r="AF29" s="17" t="str"/>
      <x:c r="AG29" s="17" t="str"/>
      <x:c r="AH29" s="17" t="n">
        <x:v>45843</x:v>
      </x:c>
      <x:c r="AI29" s="17" t="n">
        <x:v>46027</x:v>
      </x:c>
      <x:c r="AJ29" s="17" t="str">
        <x:v>https://epoch.ai/data/data-centers/satellite-explorer/xAIColossus1MemphisTennessee?ref=404media.co | https://www.datacenterdynamics.com/en/news/xai-removes-some-of-controversial-gas-turbines-from-memphis-data-center/ | https://www.selc.org/news/xai-built-an-illegal-power-plant-to-power-its-data-center/</x:v>
      </x:c>
      <x:c r="AK29" s="17" t="str">
        <x:v>https://services.arcgis.com/jDGuO8tYggdCCnUJ/arcgis/rest/services/data_centers_v4_agol_all/FeatureServer/0</x:v>
      </x:c>
      <x:c r="AL29" s="23" t="str">
        <x:v>https://services.arcgis.com/jDGuO8tYggdCCnUJ/arcgis/rest/services/data_centers_v4_agol_all/FeatureServer/0</x:v>
      </x:c>
      <x:c r="AM29" s="23" t="str">
        <x:v>Powered by unpermitted gas turbines</x:v>
      </x:c>
      <x:c r="AN29" s="17" t="str">
        <x:v>core_data_center</x:v>
      </x:c>
      <x:c r="AO29" s="77" t="b">
        <x:v>1</x:v>
      </x:c>
      <x:c r="AP29" s="23" t="str">
        <x:v>xai</x:v>
      </x:c>
      <x:c r="AQ29" s="17" t="str">
        <x:v>xai colossus 1</x:v>
      </x:c>
      <x:c r="AR29" s="18" t="str">
        <x:v>3231 riverport rd paul lowry rd</x:v>
      </x:c>
    </x:row>
    <x:row r="30" ht="28" hidden="0" customHeight="1">
      <x:c r="A30" s="16" t="str">
        <x:v>fractracker</x:v>
      </x:c>
      <x:c r="B30" s="23" t="str">
        <x:v>500</x:v>
      </x:c>
      <x:c r="C30" s="23" t="str">
        <x:v>xAI Colossus 2</x:v>
      </x:c>
      <x:c r="D30" s="17" t="str"/>
      <x:c r="E30" s="23" t="str">
        <x:v>xAI</x:v>
      </x:c>
      <x:c r="F30" s="17" t="str"/>
      <x:c r="G30" s="23" t="str">
        <x:v>5420 Tulane Rd</x:v>
      </x:c>
      <x:c r="H30" s="17" t="str"/>
      <x:c r="I30" s="17" t="str">
        <x:v>Memphis</x:v>
      </x:c>
      <x:c r="J30" s="26" t="str">
        <x:v>Shelby</x:v>
      </x:c>
      <x:c r="K30" s="17" t="str">
        <x:v>TN</x:v>
      </x:c>
      <x:c r="L30" s="17" t="str">
        <x:v>38109</x:v>
      </x:c>
      <x:c r="M30" s="29" t="str">
        <x:v>34.998074</x:v>
      </x:c>
      <x:c r="N30" s="29" t="str">
        <x:v>-90.03507</x:v>
      </x:c>
      <x:c r="O30" s="17" t="str">
        <x:v>address_or_site</x:v>
      </x:c>
      <x:c r="P30" s="17" t="str">
        <x:v>High</x:v>
      </x:c>
      <x:c r="Q30" s="17" t="str">
        <x:v>Google Maps and other sources</x:v>
      </x:c>
      <x:c r="R30" s="17" t="str">
        <x:v>Expanding</x:v>
      </x:c>
      <x:c r="S30" s="17" t="str">
        <x:v>expanding</x:v>
      </x:c>
      <x:c r="T30" s="17" t="str">
        <x:v>data_center</x:v>
      </x:c>
      <x:c r="U30" s="17" t="str"/>
      <x:c r="V30" s="26" t="str">
        <x:v>1400</x:v>
      </x:c>
      <x:c r="W30" s="26" t="str">
        <x:v>276</x:v>
      </x:c>
      <x:c r="X30" s="26" t="str">
        <x:v>1400</x:v>
      </x:c>
      <x:c r="Y30" s="26" t="str">
        <x:v>1000000</x:v>
      </x:c>
      <x:c r="Z30" s="17" t="str"/>
      <x:c r="AA30" s="17" t="str"/>
      <x:c r="AB30" s="17" t="str"/>
      <x:c r="AC30" s="35" t="str"/>
      <x:c r="AD30" s="17" t="str"/>
      <x:c r="AE30" s="17" t="str"/>
      <x:c r="AF30" s="17" t="str"/>
      <x:c r="AG30" s="17" t="str"/>
      <x:c r="AH30" s="17" t="n">
        <x:v>45843</x:v>
      </x:c>
      <x:c r="AI30" s="17" t="n">
        <x:v>46234</x:v>
      </x:c>
      <x:c r="AJ30" s="17" t="str">
        <x:v>https://epoch.ai/data/data-centers/satellite-explorer/xAIColossus2MemphisTennessee?ref=404media.co | https://www.datacenterdynamics.com/en/news/elon-musks-xai-buys-one-million-sq-ft-site-for-second-memphis-data-center/ | https://www.datacenterdynamics.com/en/news/elon-musks-xai-to-spend-659m-on-new-building-for-memphis-data-center-cluster/ | https://www.datacenterdynamics.com/en/news/musk-confirms-fourth-spacexai-data-center-in-memphis-company-starts-removing-illegal-gas-turbines/ | https://www.selc.org/news/xai-built-an-illegal-power-plant-to-power-its-data-center/ | https://www.tomshardware.com/tech-industry/artificial-intelligence/elon-musk-xai-power-plant-overseas-to-power-1-million-gpus</x:v>
      </x:c>
      <x:c r="AK30" s="17" t="str">
        <x:v>https://services.arcgis.com/jDGuO8tYggdCCnUJ/arcgis/rest/services/data_centers_v4_agol_all/FeatureServer/0</x:v>
      </x:c>
      <x:c r="AL30" s="23" t="str">
        <x:v>https://services.arcgis.com/jDGuO8tYggdCCnUJ/arcgis/rest/services/data_centers_v4_agol_all/FeatureServer/0</x:v>
      </x:c>
      <x:c r="AM30" s="23" t="str">
        <x:v>Powered by unpermitted gas turbines</x:v>
      </x:c>
      <x:c r="AN30" s="17" t="str">
        <x:v>core_data_center</x:v>
      </x:c>
      <x:c r="AO30" s="77" t="b">
        <x:v>1</x:v>
      </x:c>
      <x:c r="AP30" s="23" t="str">
        <x:v>xai</x:v>
      </x:c>
      <x:c r="AQ30" s="17" t="str">
        <x:v>xai colossus 2</x:v>
      </x:c>
      <x:c r="AR30" s="18" t="str">
        <x:v>5420 tulane rd</x:v>
      </x:c>
    </x:row>
    <x:row r="31" ht="28" hidden="0" customHeight="1">
      <x:c r="A31" s="16" t="str">
        <x:v>fractracker</x:v>
      </x:c>
      <x:c r="B31" s="23" t="str">
        <x:v>1780860040054-4476</x:v>
      </x:c>
      <x:c r="C31" s="23" t="str">
        <x:v>DC Blox Data Center</x:v>
      </x:c>
      <x:c r="D31" s="17" t="str"/>
      <x:c r="E31" s="23" t="str"/>
      <x:c r="F31" s="17" t="str"/>
      <x:c r="G31" s="23" t="str">
        <x:v>648 Grassmere Park</x:v>
      </x:c>
      <x:c r="H31" s="17" t="str"/>
      <x:c r="I31" s="17" t="str">
        <x:v>Nashville</x:v>
      </x:c>
      <x:c r="J31" s="26" t="str">
        <x:v>Davidson</x:v>
      </x:c>
      <x:c r="K31" s="17" t="str">
        <x:v>TN</x:v>
      </x:c>
      <x:c r="L31" s="17" t="str">
        <x:v>37211</x:v>
      </x:c>
      <x:c r="M31" s="29" t="str">
        <x:v>36.090492</x:v>
      </x:c>
      <x:c r="N31" s="29" t="str">
        <x:v>-86.74721</x:v>
      </x:c>
      <x:c r="O31" s="17" t="str">
        <x:v>address_or_site</x:v>
      </x:c>
      <x:c r="P31" s="17" t="str">
        <x:v>High</x:v>
      </x:c>
      <x:c r="Q31" s="17" t="str">
        <x:v>Google Maps and other sources</x:v>
      </x:c>
      <x:c r="R31" s="17" t="str">
        <x:v>Proposed</x:v>
      </x:c>
      <x:c r="S31" s="17" t="str">
        <x:v>proposed</x:v>
      </x:c>
      <x:c r="T31" s="17" t="str">
        <x:v>data_center</x:v>
      </x:c>
      <x:c r="U31" s="17" t="str"/>
      <x:c r="V31" s="26" t="str"/>
      <x:c r="W31" s="26" t="str"/>
      <x:c r="X31" s="26" t="str"/>
      <x:c r="Y31" s="26" t="str">
        <x:v>69220</x:v>
      </x:c>
      <x:c r="Z31" s="17" t="str"/>
      <x:c r="AA31" s="17" t="str"/>
      <x:c r="AB31" s="17" t="str"/>
      <x:c r="AC31" s="35" t="str"/>
      <x:c r="AD31" s="17" t="str">
        <x:v>Grid (unspecified mix)</x:v>
      </x:c>
      <x:c r="AE31" s="17" t="str"/>
      <x:c r="AF31" s="17" t="str"/>
      <x:c r="AG31" s="17" t="str"/>
      <x:c r="AH31" s="17" t="n">
        <x:v>46180</x:v>
      </x:c>
      <x:c r="AI31" s="17" t="n">
        <x:v>46185</x:v>
      </x:c>
      <x:c r="AJ31" s="17" t="str">
        <x:v>https://www.datacenterdynamics.com/en/news/dc-bloxs-proposed-24-acre-data-center-near-nashville-zoo-could-be-blocked-by-moratorium/ | https://www.wkrn.com/news/local-news/nashville/160k-sign-petition-opposing-data-center-next-nashville-zoo/ | https://www.wsmv.com/2026/06/04/what-know-about-potential-data-center-next-nashville-zoo-facility-launches-petition-against-its-construction-feet-away-one-most-fragile-rare-collections-animals/</x:v>
      </x:c>
      <x:c r="AK31" s="17" t="str">
        <x:v>https://services.arcgis.com/jDGuO8tYggdCCnUJ/arcgis/rest/services/data_centers_v4_agol_all/FeatureServer/0</x:v>
      </x:c>
      <x:c r="AL31" s="23" t="str">
        <x:v>https://services.arcgis.com/jDGuO8tYggdCCnUJ/arcgis/rest/services/data_centers_v4_agol_all/FeatureServer/0</x:v>
      </x:c>
      <x:c r="AM31" s="23" t="str">
        <x:v>160,000 signatures</x:v>
      </x:c>
      <x:c r="AN31" s="17" t="str">
        <x:v>core_data_center</x:v>
      </x:c>
      <x:c r="AO31" s="77" t="b">
        <x:v>1</x:v>
      </x:c>
      <x:c r="AP31" s="23" t="str"/>
      <x:c r="AQ31" s="17" t="str">
        <x:v>dc blox data center</x:v>
      </x:c>
      <x:c r="AR31" s="18" t="str">
        <x:v>648 grassmere park</x:v>
      </x:c>
    </x:row>
    <x:row r="32" ht="28" hidden="0" customHeight="1">
      <x:c r="A32" s="16" t="str">
        <x:v>fractracker</x:v>
      </x:c>
      <x:c r="B32" s="23" t="str">
        <x:v>1772678598263-1520</x:v>
      </x:c>
      <x:c r="C32" s="23" t="str">
        <x:v>H5 Data Center</x:v>
      </x:c>
      <x:c r="D32" s="17" t="str"/>
      <x:c r="E32" s="23" t="str"/>
      <x:c r="F32" s="17" t="str"/>
      <x:c r="G32" s="23" t="str">
        <x:v>147 Fourth Ave</x:v>
      </x:c>
      <x:c r="H32" s="17" t="str"/>
      <x:c r="I32" s="17" t="str">
        <x:v>Nashville</x:v>
      </x:c>
      <x:c r="J32" s="26" t="str">
        <x:v>Davidson</x:v>
      </x:c>
      <x:c r="K32" s="17" t="str">
        <x:v>TN</x:v>
      </x:c>
      <x:c r="L32" s="17" t="str">
        <x:v>37219</x:v>
      </x:c>
      <x:c r="M32" s="29" t="str">
        <x:v>36.1628</x:v>
      </x:c>
      <x:c r="N32" s="29" t="str">
        <x:v>-86.77863</x:v>
      </x:c>
      <x:c r="O32" s="17" t="str">
        <x:v>address_or_site</x:v>
      </x:c>
      <x:c r="P32" s="17" t="str">
        <x:v>High</x:v>
      </x:c>
      <x:c r="Q32" s="17" t="str">
        <x:v>Google Maps only</x:v>
      </x:c>
      <x:c r="R32" s="17" t="str">
        <x:v>Proposed</x:v>
      </x:c>
      <x:c r="S32" s="17" t="str">
        <x:v>proposed</x:v>
      </x:c>
      <x:c r="T32" s="17" t="str">
        <x:v>data_center</x:v>
      </x:c>
      <x:c r="U32" s="17" t="str"/>
      <x:c r="V32" s="26" t="str"/>
      <x:c r="W32" s="26" t="str"/>
      <x:c r="X32" s="26" t="str"/>
      <x:c r="Y32" s="26" t="str">
        <x:v>19700</x:v>
      </x:c>
      <x:c r="Z32" s="17" t="str"/>
      <x:c r="AA32" s="17" t="str"/>
      <x:c r="AB32" s="17" t="str"/>
      <x:c r="AC32" s="35" t="str"/>
      <x:c r="AD32" s="17" t="str"/>
      <x:c r="AE32" s="17" t="str"/>
      <x:c r="AF32" s="17" t="str"/>
      <x:c r="AG32" s="17" t="str"/>
      <x:c r="AH32" s="17" t="n">
        <x:v>46085</x:v>
      </x:c>
      <x:c r="AI32" s="17" t="n">
        <x:v>46085</x:v>
      </x:c>
      <x:c r="AJ32" s="17" t="str">
        <x:v>https://www.datacenterdynamics.com/en/news/h5-and-novacap-launch-new-data-center-platform-acquire-three-carrier-hotels-from-365/</x:v>
      </x:c>
      <x:c r="AK32" s="17" t="str">
        <x:v>https://services.arcgis.com/jDGuO8tYggdCCnUJ/arcgis/rest/services/data_centers_v4_agol_all/FeatureServer/0</x:v>
      </x:c>
      <x:c r="AL32" s="23" t="str">
        <x:v>https://services.arcgis.com/jDGuO8tYggdCCnUJ/arcgis/rest/services/data_centers_v4_agol_all/FeatureServer/0</x:v>
      </x:c>
      <x:c r="AM32" s="23" t="str"/>
      <x:c r="AN32" s="17" t="str">
        <x:v>core_data_center</x:v>
      </x:c>
      <x:c r="AO32" s="77" t="b">
        <x:v>1</x:v>
      </x:c>
      <x:c r="AP32" s="23" t="str"/>
      <x:c r="AQ32" s="17" t="str">
        <x:v>h5 data center</x:v>
      </x:c>
      <x:c r="AR32" s="18" t="str">
        <x:v>147 fourth ave</x:v>
      </x:c>
    </x:row>
    <x:row r="33" ht="28" hidden="0" customHeight="1">
      <x:c r="A33" s="16" t="str">
        <x:v>fractracker</x:v>
      </x:c>
      <x:c r="B33" s="23" t="str">
        <x:v>1779304944409-7202</x:v>
      </x:c>
      <x:c r="C33" s="23" t="str">
        <x:v>Quantum Leap Data Center/ Fisk University</x:v>
      </x:c>
      <x:c r="D33" s="17" t="str"/>
      <x:c r="E33" s="23" t="str"/>
      <x:c r="F33" s="17" t="str"/>
      <x:c r="G33" s="23" t="str"/>
      <x:c r="H33" s="17" t="str"/>
      <x:c r="I33" s="17" t="str">
        <x:v>Nashville</x:v>
      </x:c>
      <x:c r="J33" s="26" t="str">
        <x:v>Davidson</x:v>
      </x:c>
      <x:c r="K33" s="17" t="str">
        <x:v>TN</x:v>
      </x:c>
      <x:c r="L33" s="17" t="str">
        <x:v>37208</x:v>
      </x:c>
      <x:c r="M33" s="29" t="str">
        <x:v>36.168316</x:v>
      </x:c>
      <x:c r="N33" s="29" t="str">
        <x:v>-86.805565</x:v>
      </x:c>
      <x:c r="O33" s="17" t="str">
        <x:v>approximate_site</x:v>
      </x:c>
      <x:c r="P33" s="17" t="str">
        <x:v>Medium</x:v>
      </x:c>
      <x:c r="Q33" s="17" t="str">
        <x:v>Google Maps and other sources</x:v>
      </x:c>
      <x:c r="R33" s="17" t="str">
        <x:v>Proposed</x:v>
      </x:c>
      <x:c r="S33" s="17" t="str">
        <x:v>proposed</x:v>
      </x:c>
      <x:c r="T33" s="17" t="str">
        <x:v>data_center</x:v>
      </x:c>
      <x:c r="U33" s="17" t="str"/>
      <x:c r="V33" s="26" t="str">
        <x:v>30</x:v>
      </x:c>
      <x:c r="W33" s="26" t="str">
        <x:v>30</x:v>
      </x:c>
      <x:c r="X33" s="26" t="str">
        <x:v>30</x:v>
      </x:c>
      <x:c r="Y33" s="26" t="str">
        <x:v>70000</x:v>
      </x:c>
      <x:c r="Z33" s="17" t="str"/>
      <x:c r="AA33" s="17" t="str"/>
      <x:c r="AB33" s="17" t="str"/>
      <x:c r="AC33" s="35" t="str">
        <x:v>$400 million</x:v>
      </x:c>
      <x:c r="AD33" s="17" t="str">
        <x:v>Grid (unspecified mix)</x:v>
      </x:c>
      <x:c r="AE33" s="17" t="str"/>
      <x:c r="AF33" s="17" t="str"/>
      <x:c r="AG33" s="17" t="str"/>
      <x:c r="AH33" s="17" t="n">
        <x:v>46162</x:v>
      </x:c>
      <x:c r="AI33" s="17" t="n">
        <x:v>46162</x:v>
      </x:c>
      <x:c r="AJ33" s="17" t="str">
        <x:v>https://www.datacenterdynamics.com/en/news/fisk-university-looks-to-build-data-center-in-nashville-tennessee/</x:v>
      </x:c>
      <x:c r="AK33" s="17" t="str">
        <x:v>https://services.arcgis.com/jDGuO8tYggdCCnUJ/arcgis/rest/services/data_centers_v4_agol_all/FeatureServer/0</x:v>
      </x:c>
      <x:c r="AL33" s="23" t="str">
        <x:v>https://services.arcgis.com/jDGuO8tYggdCCnUJ/arcgis/rest/services/data_centers_v4_agol_all/FeatureServer/0</x:v>
      </x:c>
      <x:c r="AM33" s="23" t="str"/>
      <x:c r="AN33" s="17" t="str">
        <x:v>core_data_center</x:v>
      </x:c>
      <x:c r="AO33" s="77" t="b">
        <x:v>1</x:v>
      </x:c>
      <x:c r="AP33" s="23" t="str"/>
      <x:c r="AQ33" s="17" t="str">
        <x:v>quantum leap data center fisk university</x:v>
      </x:c>
      <x:c r="AR33" s="18" t="str"/>
    </x:row>
    <x:row r="34" ht="28" hidden="0" customHeight="1">
      <x:c r="A34" s="16" t="str">
        <x:v>compute_atlas</x:v>
      </x:c>
      <x:c r="B34" s="23" t="str">
        <x:v>aphorio-carter-collierville-tn</x:v>
      </x:c>
      <x:c r="C34" s="23" t="str">
        <x:v>Collierville Enterprise Data Center (FedEx World Technology Center Campus)</x:v>
      </x:c>
      <x:c r="D34" s="17" t="str"/>
      <x:c r="E34" s="23" t="str">
        <x:v>Aphorio Carter</x:v>
      </x:c>
      <x:c r="F34" s="17" t="str"/>
      <x:c r="G34" s="23" t="str"/>
      <x:c r="H34" s="17" t="str"/>
      <x:c r="I34" s="17" t="str">
        <x:v>Collierville</x:v>
      </x:c>
      <x:c r="J34" s="26" t="str">
        <x:v>Shelby</x:v>
      </x:c>
      <x:c r="K34" s="17" t="str">
        <x:v>TN</x:v>
      </x:c>
      <x:c r="L34" s="17" t="str"/>
      <x:c r="M34" s="29" t="str">
        <x:v>35.04204</x:v>
      </x:c>
      <x:c r="N34" s="29" t="str">
        <x:v>-89.66453</x:v>
      </x:c>
      <x:c r="O34" s="17" t="str">
        <x:v>approximate</x:v>
      </x:c>
      <x:c r="P34" s="17" t="str">
        <x:v>confirmed</x:v>
      </x:c>
      <x:c r="Q34" s="17" t="str"/>
      <x:c r="R34" s="17" t="str">
        <x:v>operational</x:v>
      </x:c>
      <x:c r="S34" s="17" t="str">
        <x:v>operational</x:v>
      </x:c>
      <x:c r="T34" s="17" t="str">
        <x:v>data_center</x:v>
      </x:c>
      <x:c r="U34" s="17" t="str"/>
      <x:c r="V34" s="26" t="str"/>
      <x:c r="W34" s="26" t="str"/>
      <x:c r="X34" s="26" t="str"/>
      <x:c r="Y34" s="26" t="str"/>
      <x:c r="Z34" s="17" t="str">
        <x:v>4.62</x:v>
      </x:c>
      <x:c r="AA34" s="17" t="str"/>
      <x:c r="AB34" s="17" t="str"/>
      <x:c r="AC34" s="35" t="str">
        <x:v>13000000</x:v>
      </x:c>
      <x:c r="AD34" s="17" t="str"/>
      <x:c r="AE34" s="17" t="str"/>
      <x:c r="AF34" s="17" t="str"/>
      <x:c r="AG34" s="17" t="str"/>
      <x:c r="AH34" s="17" t="str"/>
      <x:c r="AI34" s="17" t="str">
        <x:v>2026-08-15</x:v>
      </x:c>
      <x:c r="AJ34" s="17" t="str">
        <x:v>https://baxtel.com/data-center/memphis | https://www.prnewswire.com/news-releases/aphorio-carter-acquires-data-center-in-collierville-tn-301983903.html</x:v>
      </x:c>
      <x:c r="AK34" s="17" t="str">
        <x:v>https://www.compute-atlas.com/api/facilities?state=TN</x:v>
      </x:c>
      <x:c r="AL34" s="23" t="str">
        <x:v>https://www.compute-atlas.com/api/facilities?state=TN</x:v>
      </x:c>
      <x:c r="AM34" s="23" t="str">
        <x:v>[]</x:v>
      </x:c>
      <x:c r="AN34" s="17" t="str">
        <x:v>core_data_center</x:v>
      </x:c>
      <x:c r="AO34" s="77" t="b">
        <x:v>1</x:v>
      </x:c>
      <x:c r="AP34" s="23" t="str">
        <x:v>aphorio carter</x:v>
      </x:c>
      <x:c r="AQ34" s="17" t="str">
        <x:v>collierville enterprise data center fedex world technology center campus</x:v>
      </x:c>
      <x:c r="AR34" s="18" t="str"/>
    </x:row>
    <x:row r="35" ht="28" hidden="0" customHeight="1">
      <x:c r="A35" s="16" t="str">
        <x:v>compute_atlas</x:v>
      </x:c>
      <x:c r="B35" s="23" t="str">
        <x:v>bitdeer-knoxville-tn</x:v>
      </x:c>
      <x:c r="C35" s="23" t="str">
        <x:v>Bitdeer Knoxville AI Datacenter (5101 S. National Drive)</x:v>
      </x:c>
      <x:c r="D35" s="17" t="str"/>
      <x:c r="E35" s="23" t="str">
        <x:v>Bitdeer</x:v>
      </x:c>
      <x:c r="F35" s="17" t="str"/>
      <x:c r="G35" s="23" t="str"/>
      <x:c r="H35" s="17" t="str"/>
      <x:c r="I35" s="17" t="str">
        <x:v>Knoxville</x:v>
      </x:c>
      <x:c r="J35" s="26" t="str">
        <x:v>Knox</x:v>
      </x:c>
      <x:c r="K35" s="17" t="str">
        <x:v>TN</x:v>
      </x:c>
      <x:c r="L35" s="17" t="str"/>
      <x:c r="M35" s="29" t="str">
        <x:v>35.941272</x:v>
      </x:c>
      <x:c r="N35" s="29" t="str">
        <x:v>-83.836066</x:v>
      </x:c>
      <x:c r="O35" s="17" t="str">
        <x:v>approximate</x:v>
      </x:c>
      <x:c r="P35" s="17" t="str">
        <x:v>reported</x:v>
      </x:c>
      <x:c r="Q35" s="17" t="str"/>
      <x:c r="R35" s="17" t="str">
        <x:v>under_construction</x:v>
      </x:c>
      <x:c r="S35" s="17" t="str">
        <x:v>under_construction</x:v>
      </x:c>
      <x:c r="T35" s="17" t="str">
        <x:v>data_center</x:v>
      </x:c>
      <x:c r="U35" s="17" t="str"/>
      <x:c r="V35" s="26" t="str"/>
      <x:c r="W35" s="26" t="str"/>
      <x:c r="X35" s="26" t="str"/>
      <x:c r="Y35" s="26" t="str"/>
      <x:c r="Z35" s="17" t="str">
        <x:v>9.88</x:v>
      </x:c>
      <x:c r="AA35" s="17" t="str"/>
      <x:c r="AB35" s="17" t="str"/>
      <x:c r="AC35" s="35" t="str"/>
      <x:c r="AD35" s="17" t="str"/>
      <x:c r="AE35" s="17" t="str"/>
      <x:c r="AF35" s="17" t="str"/>
      <x:c r="AG35" s="17" t="str"/>
      <x:c r="AH35" s="17" t="str"/>
      <x:c r="AI35" s="17" t="str">
        <x:v>2026-07-23</x:v>
      </x:c>
      <x:c r="AJ35" s="17" t="str">
        <x:v>https://www.arcgis.com/home/item.html?id=597555ce8e4a4892a030784a7c657fdd | https://www.sec.gov/Archives/edgar/data/1899123/000121390026049770/ea0282628-20f_bitdeer.htm</x:v>
      </x:c>
      <x:c r="AK35" s="17" t="str">
        <x:v>https://www.compute-atlas.com/api/facilities?state=TN</x:v>
      </x:c>
      <x:c r="AL35" s="23" t="str">
        <x:v>https://www.compute-atlas.com/api/facilities?state=TN</x:v>
      </x:c>
      <x:c r="AM35" s="23" t="str">
        <x:v>[{"date": "2026-04-30", "note": "under construction per Bitdeer Technologies Group FY2025 Form 20-F, filed 2026-04-30", "status": "under_construction", "sourceIndex": 0}]</x:v>
      </x:c>
      <x:c r="AN35" s="17" t="str">
        <x:v>core_data_center</x:v>
      </x:c>
      <x:c r="AO35" s="77" t="b">
        <x:v>1</x:v>
      </x:c>
      <x:c r="AP35" s="23" t="str">
        <x:v>bitdeer</x:v>
      </x:c>
      <x:c r="AQ35" s="17" t="str">
        <x:v>bitdeer knoxville ai datacenter 5101 s national drive</x:v>
      </x:c>
      <x:c r="AR35" s="18" t="str"/>
    </x:row>
    <x:row r="36" ht="28" hidden="0" customHeight="1">
      <x:c r="A36" s="16" t="str">
        <x:v>compute_atlas</x:v>
      </x:c>
      <x:c r="B36" s="23" t="str">
        <x:v>centersquare-gallatin-tn</x:v>
      </x:c>
      <x:c r="C36" s="23" t="str">
        <x:v>Centersquare Gallatin (NAS) Campus</x:v>
      </x:c>
      <x:c r="D36" s="17" t="str"/>
      <x:c r="E36" s="23" t="str">
        <x:v>Centersquare</x:v>
      </x:c>
      <x:c r="F36" s="17" t="str"/>
      <x:c r="G36" s="23" t="str"/>
      <x:c r="H36" s="17" t="str"/>
      <x:c r="I36" s="17" t="str">
        <x:v>Gallatin</x:v>
      </x:c>
      <x:c r="J36" s="26" t="str">
        <x:v>Sumner</x:v>
      </x:c>
      <x:c r="K36" s="17" t="str">
        <x:v>TN</x:v>
      </x:c>
      <x:c r="L36" s="17" t="str"/>
      <x:c r="M36" s="29" t="str">
        <x:v>36.40406</x:v>
      </x:c>
      <x:c r="N36" s="29" t="str">
        <x:v>-86.39812</x:v>
      </x:c>
      <x:c r="O36" s="17" t="str">
        <x:v>exact</x:v>
      </x:c>
      <x:c r="P36" s="17" t="str">
        <x:v>confirmed</x:v>
      </x:c>
      <x:c r="Q36" s="17" t="str"/>
      <x:c r="R36" s="17" t="str">
        <x:v>operational</x:v>
      </x:c>
      <x:c r="S36" s="17" t="str">
        <x:v>operational</x:v>
      </x:c>
      <x:c r="T36" s="17" t="str">
        <x:v>data_center</x:v>
      </x:c>
      <x:c r="U36" s="17" t="str"/>
      <x:c r="V36" s="26" t="str"/>
      <x:c r="W36" s="26" t="str"/>
      <x:c r="X36" s="26" t="str"/>
      <x:c r="Y36" s="26" t="str"/>
      <x:c r="Z36" s="17" t="str">
        <x:v>28.5</x:v>
      </x:c>
      <x:c r="AA36" s="17" t="str"/>
      <x:c r="AB36" s="17" t="str"/>
      <x:c r="AC36" s="35" t="str">
        <x:v>200000000</x:v>
      </x:c>
      <x:c r="AD36" s="17" t="str"/>
      <x:c r="AE36" s="17" t="str"/>
      <x:c r="AF36" s="17" t="str"/>
      <x:c r="AG36" s="17" t="str"/>
      <x:c r="AH36" s="17" t="str"/>
      <x:c r="AI36" s="17" t="str">
        <x:v>2026-08-15</x:v>
      </x:c>
      <x:c r="AJ36" s="17" t="str">
        <x:v>https://baxtel.com/data-center/centersquare-gallatin-nas | https://www.datacenterfrontier.com/cloud/article/11427377/evoque-to-partner-with-archer-datacenters-on-200m-nashville-campus | https://www.newschannel5.com/news/how-big-are-middle-tennessees-data-centers-a-look-at-facilities-already-operating</x:v>
      </x:c>
      <x:c r="AK36" s="17" t="str">
        <x:v>https://www.compute-atlas.com/api/facilities?state=TN</x:v>
      </x:c>
      <x:c r="AL36" s="23" t="str">
        <x:v>https://www.compute-atlas.com/api/facilities?state=TN</x:v>
      </x:c>
      <x:c r="AM36" s="23" t="str">
        <x:v>[]</x:v>
      </x:c>
      <x:c r="AN36" s="17" t="str">
        <x:v>core_data_center</x:v>
      </x:c>
      <x:c r="AO36" s="77" t="b">
        <x:v>1</x:v>
      </x:c>
      <x:c r="AP36" s="23" t="str">
        <x:v>centersquare</x:v>
      </x:c>
      <x:c r="AQ36" s="17" t="str">
        <x:v>centersquare gallatin nas campus</x:v>
      </x:c>
      <x:c r="AR36" s="18" t="str"/>
    </x:row>
    <x:row r="37" ht="28" hidden="0" customHeight="1">
      <x:c r="A37" s="16" t="str">
        <x:v>compute_atlas</x:v>
      </x:c>
      <x:c r="B37" s="23" t="str">
        <x:v>cielo-clarksville-tn</x:v>
      </x:c>
      <x:c r="C37" s="23" t="str">
        <x:v>Cielo Montgomery County AI Campus</x:v>
      </x:c>
      <x:c r="D37" s="17" t="str"/>
      <x:c r="E37" s="23" t="str">
        <x:v>Cielo Digital Infrastructure</x:v>
      </x:c>
      <x:c r="F37" s="17" t="str"/>
      <x:c r="G37" s="23" t="str"/>
      <x:c r="H37" s="17" t="str"/>
      <x:c r="I37" s="17" t="str">
        <x:v>Clarksville</x:v>
      </x:c>
      <x:c r="J37" s="26" t="str">
        <x:v>Montgomery</x:v>
      </x:c>
      <x:c r="K37" s="17" t="str">
        <x:v>TN</x:v>
      </x:c>
      <x:c r="L37" s="17" t="str"/>
      <x:c r="M37" s="29" t="str">
        <x:v>36.53</x:v>
      </x:c>
      <x:c r="N37" s="29" t="str">
        <x:v>-87.36</x:v>
      </x:c>
      <x:c r="O37" s="17" t="str">
        <x:v>exact</x:v>
      </x:c>
      <x:c r="P37" s="17" t="str">
        <x:v>reported</x:v>
      </x:c>
      <x:c r="Q37" s="17" t="str"/>
      <x:c r="R37" s="17" t="str">
        <x:v>proposed</x:v>
      </x:c>
      <x:c r="S37" s="17" t="str">
        <x:v>proposed</x:v>
      </x:c>
      <x:c r="T37" s="17" t="str">
        <x:v>data_center</x:v>
      </x:c>
      <x:c r="U37" s="17" t="str"/>
      <x:c r="V37" s="26" t="str"/>
      <x:c r="W37" s="26" t="str"/>
      <x:c r="X37" s="26" t="str"/>
      <x:c r="Y37" s="26" t="str"/>
      <x:c r="Z37" s="17" t="str">
        <x:v>107</x:v>
      </x:c>
      <x:c r="AA37" s="17" t="str"/>
      <x:c r="AB37" s="17" t="str"/>
      <x:c r="AC37" s="35" t="str"/>
      <x:c r="AD37" s="17" t="str"/>
      <x:c r="AE37" s="17" t="str"/>
      <x:c r="AF37" s="17" t="str"/>
      <x:c r="AG37" s="17" t="str"/>
      <x:c r="AH37" s="17" t="str"/>
      <x:c r="AI37" s="17" t="str">
        <x:v>2026-07-26</x:v>
      </x:c>
      <x:c r="AJ37" s="17" t="str">
        <x:v>https://cieloinfra.com/ | https://cleanview.co/data-centers/tennessee/2037/cielo-clarksville-data-center | https://www.arcgis.com/home/item.html?id=597555ce8e4a4892a030784a7c657fdd</x:v>
      </x:c>
      <x:c r="AK37" s="17" t="str">
        <x:v>https://www.compute-atlas.com/api/facilities?state=TN</x:v>
      </x:c>
      <x:c r="AL37" s="23" t="str">
        <x:v>https://www.compute-atlas.com/api/facilities?state=TN</x:v>
      </x:c>
      <x:c r="AM37" s="23" t="str">
        <x:v>[{"date": "2026", "note": "Cielo Digital Infrastructure proposed a ~350 MW AI campus on ~107 acres in Montgomery County (Clarksville)", "status": "proposed", "sourceIndex": 0}]</x:v>
      </x:c>
      <x:c r="AN37" s="17" t="str">
        <x:v>core_data_center</x:v>
      </x:c>
      <x:c r="AO37" s="77" t="b">
        <x:v>1</x:v>
      </x:c>
      <x:c r="AP37" s="23" t="str">
        <x:v>cielo digital infrastructure</x:v>
      </x:c>
      <x:c r="AQ37" s="17" t="str">
        <x:v>cielo montgomery county ai campus</x:v>
      </x:c>
      <x:c r="AR37" s="18" t="str"/>
    </x:row>
    <x:row r="38" ht="28" hidden="0" customHeight="1">
      <x:c r="A38" s="16" t="str">
        <x:v>compute_atlas</x:v>
      </x:c>
      <x:c r="B38" s="23" t="str">
        <x:v>cleanspark-campbell-junction-tn</x:v>
      </x:c>
      <x:c r="C38" s="23" t="str">
        <x:v>CleanSpark Campbell Junction Bitcoin Mining Facility</x:v>
      </x:c>
      <x:c r="D38" s="17" t="str"/>
      <x:c r="E38" s="23" t="str">
        <x:v>CleanSpark, Inc.</x:v>
      </x:c>
      <x:c r="F38" s="17" t="str"/>
      <x:c r="G38" s="23" t="str"/>
      <x:c r="H38" s="17" t="str"/>
      <x:c r="I38" s="17" t="str">
        <x:v>Campbell Junction</x:v>
      </x:c>
      <x:c r="J38" s="26" t="str">
        <x:v>Cumberland</x:v>
      </x:c>
      <x:c r="K38" s="17" t="str">
        <x:v>TN</x:v>
      </x:c>
      <x:c r="L38" s="17" t="str"/>
      <x:c r="M38" s="29" t="str">
        <x:v>36.0436</x:v>
      </x:c>
      <x:c r="N38" s="29" t="str">
        <x:v>-85.1692</x:v>
      </x:c>
      <x:c r="O38" s="17" t="str">
        <x:v>approximate</x:v>
      </x:c>
      <x:c r="P38" s="17" t="str">
        <x:v>confirmed</x:v>
      </x:c>
      <x:c r="Q38" s="17" t="str"/>
      <x:c r="R38" s="17" t="str">
        <x:v>operational</x:v>
      </x:c>
      <x:c r="S38" s="17" t="str">
        <x:v>operational</x:v>
      </x:c>
      <x:c r="T38" s="17" t="str">
        <x:v>crypto_mining</x:v>
      </x:c>
      <x:c r="U38" s="17" t="str"/>
      <x:c r="V38" s="26" t="str"/>
      <x:c r="W38" s="26" t="str"/>
      <x:c r="X38" s="26" t="str"/>
      <x:c r="Y38" s="26" t="str"/>
      <x:c r="Z38" s="17" t="str"/>
      <x:c r="AA38" s="17" t="str"/>
      <x:c r="AB38" s="17" t="str"/>
      <x:c r="AC38" s="35" t="str"/>
      <x:c r="AD38" s="17" t="str"/>
      <x:c r="AE38" s="17" t="str"/>
      <x:c r="AF38" s="17" t="str"/>
      <x:c r="AG38" s="17" t="str"/>
      <x:c r="AH38" s="17" t="str"/>
      <x:c r="AI38" s="17" t="str">
        <x:v>2026-08-05</x:v>
      </x:c>
      <x:c r="AJ38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K38" s="17" t="str">
        <x:v>https://www.compute-atlas.com/api/facilities?state=TN</x:v>
      </x:c>
      <x:c r="AL38" s="23" t="str">
        <x:v>https://www.compute-atlas.com/api/facilities?state=TN</x:v>
      </x:c>
      <x:c r="AM38" s="23" t="str">
        <x:v>[]</x:v>
      </x:c>
      <x:c r="AN38" s="17" t="str">
        <x:v>crypto_mining</x:v>
      </x:c>
      <x:c r="AO38" s="77" t="b">
        <x:v>1</x:v>
      </x:c>
      <x:c r="AP38" s="23" t="str">
        <x:v>cleanspark</x:v>
      </x:c>
      <x:c r="AQ38" s="17" t="str">
        <x:v>cleanspark campbell junction bitcoin mining facility</x:v>
      </x:c>
      <x:c r="AR38" s="18" t="str"/>
    </x:row>
    <x:row r="39" ht="28" hidden="0" customHeight="1">
      <x:c r="A39" s="16" t="str">
        <x:v>compute_atlas</x:v>
      </x:c>
      <x:c r="B39" s="23" t="str">
        <x:v>cleanspark-decatur-tn</x:v>
      </x:c>
      <x:c r="C39" s="23" t="str">
        <x:v>CleanSpark Decatur Bitcoin Mining Facility</x:v>
      </x:c>
      <x:c r="D39" s="17" t="str"/>
      <x:c r="E39" s="23" t="str">
        <x:v>CleanSpark, Inc.</x:v>
      </x:c>
      <x:c r="F39" s="17" t="str"/>
      <x:c r="G39" s="23" t="str"/>
      <x:c r="H39" s="17" t="str"/>
      <x:c r="I39" s="17" t="str">
        <x:v>Decatur</x:v>
      </x:c>
      <x:c r="J39" s="26" t="str">
        <x:v>Meigs</x:v>
      </x:c>
      <x:c r="K39" s="17" t="str">
        <x:v>TN</x:v>
      </x:c>
      <x:c r="L39" s="17" t="str"/>
      <x:c r="M39" s="29" t="str">
        <x:v>35.5148</x:v>
      </x:c>
      <x:c r="N39" s="29" t="str">
        <x:v>-84.7902</x:v>
      </x:c>
      <x:c r="O39" s="17" t="str">
        <x:v>approximate</x:v>
      </x:c>
      <x:c r="P39" s="17" t="str">
        <x:v>confirmed</x:v>
      </x:c>
      <x:c r="Q39" s="17" t="str"/>
      <x:c r="R39" s="17" t="str">
        <x:v>operational</x:v>
      </x:c>
      <x:c r="S39" s="17" t="str">
        <x:v>operational</x:v>
      </x:c>
      <x:c r="T39" s="17" t="str">
        <x:v>crypto_mining</x:v>
      </x:c>
      <x:c r="U39" s="17" t="str"/>
      <x:c r="V39" s="26" t="str"/>
      <x:c r="W39" s="26" t="str"/>
      <x:c r="X39" s="26" t="str"/>
      <x:c r="Y39" s="26" t="str"/>
      <x:c r="Z39" s="17" t="str"/>
      <x:c r="AA39" s="17" t="str"/>
      <x:c r="AB39" s="17" t="str"/>
      <x:c r="AC39" s="35" t="str"/>
      <x:c r="AD39" s="17" t="str"/>
      <x:c r="AE39" s="17" t="str"/>
      <x:c r="AF39" s="17" t="str"/>
      <x:c r="AG39" s="17" t="str"/>
      <x:c r="AH39" s="17" t="str"/>
      <x:c r="AI39" s="17" t="str">
        <x:v>2026-08-05</x:v>
      </x:c>
      <x:c r="AJ39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K39" s="17" t="str">
        <x:v>https://www.compute-atlas.com/api/facilities?state=TN</x:v>
      </x:c>
      <x:c r="AL39" s="23" t="str">
        <x:v>https://www.compute-atlas.com/api/facilities?state=TN</x:v>
      </x:c>
      <x:c r="AM39" s="23" t="str">
        <x:v>[]</x:v>
      </x:c>
      <x:c r="AN39" s="17" t="str">
        <x:v>crypto_mining</x:v>
      </x:c>
      <x:c r="AO39" s="77" t="b">
        <x:v>1</x:v>
      </x:c>
      <x:c r="AP39" s="23" t="str">
        <x:v>cleanspark</x:v>
      </x:c>
      <x:c r="AQ39" s="17" t="str">
        <x:v>cleanspark decatur bitcoin mining facility</x:v>
      </x:c>
      <x:c r="AR39" s="18" t="str"/>
    </x:row>
    <x:row r="40" ht="28" hidden="0" customHeight="1">
      <x:c r="A40" s="16" t="str">
        <x:v>compute_atlas</x:v>
      </x:c>
      <x:c r="B40" s="23" t="str">
        <x:v>cleanspark-jellico-tn</x:v>
      </x:c>
      <x:c r="C40" s="23" t="str">
        <x:v>CleanSpark Jellico Bitcoin Mining Facility</x:v>
      </x:c>
      <x:c r="D40" s="17" t="str"/>
      <x:c r="E40" s="23" t="str">
        <x:v>CleanSpark, Inc.</x:v>
      </x:c>
      <x:c r="F40" s="17" t="str"/>
      <x:c r="G40" s="23" t="str"/>
      <x:c r="H40" s="17" t="str"/>
      <x:c r="I40" s="17" t="str">
        <x:v>Jellico</x:v>
      </x:c>
      <x:c r="J40" s="26" t="str">
        <x:v>Campbell</x:v>
      </x:c>
      <x:c r="K40" s="17" t="str">
        <x:v>TN</x:v>
      </x:c>
      <x:c r="L40" s="17" t="str"/>
      <x:c r="M40" s="29" t="str">
        <x:v>36.5825</x:v>
      </x:c>
      <x:c r="N40" s="29" t="str">
        <x:v>-84.1306</x:v>
      </x:c>
      <x:c r="O40" s="17" t="str">
        <x:v>approximate</x:v>
      </x:c>
      <x:c r="P40" s="17" t="str">
        <x:v>confirmed</x:v>
      </x:c>
      <x:c r="Q40" s="17" t="str"/>
      <x:c r="R40" s="17" t="str">
        <x:v>operational</x:v>
      </x:c>
      <x:c r="S40" s="17" t="str">
        <x:v>operational</x:v>
      </x:c>
      <x:c r="T40" s="17" t="str">
        <x:v>crypto_mining</x:v>
      </x:c>
      <x:c r="U40" s="17" t="str"/>
      <x:c r="V40" s="26" t="str"/>
      <x:c r="W40" s="26" t="str"/>
      <x:c r="X40" s="26" t="str"/>
      <x:c r="Y40" s="26" t="str"/>
      <x:c r="Z40" s="17" t="str"/>
      <x:c r="AA40" s="17" t="str"/>
      <x:c r="AB40" s="17" t="str"/>
      <x:c r="AC40" s="35" t="str"/>
      <x:c r="AD40" s="17" t="str"/>
      <x:c r="AE40" s="17" t="str"/>
      <x:c r="AF40" s="17" t="str"/>
      <x:c r="AG40" s="17" t="str"/>
      <x:c r="AH40" s="17" t="str"/>
      <x:c r="AI40" s="17" t="str">
        <x:v>2026-08-05</x:v>
      </x:c>
      <x:c r="AJ40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K40" s="17" t="str">
        <x:v>https://www.compute-atlas.com/api/facilities?state=TN</x:v>
      </x:c>
      <x:c r="AL40" s="23" t="str">
        <x:v>https://www.compute-atlas.com/api/facilities?state=TN</x:v>
      </x:c>
      <x:c r="AM40" s="23" t="str">
        <x:v>[]</x:v>
      </x:c>
      <x:c r="AN40" s="17" t="str">
        <x:v>crypto_mining</x:v>
      </x:c>
      <x:c r="AO40" s="77" t="b">
        <x:v>1</x:v>
      </x:c>
      <x:c r="AP40" s="23" t="str">
        <x:v>cleanspark</x:v>
      </x:c>
      <x:c r="AQ40" s="17" t="str">
        <x:v>cleanspark jellico bitcoin mining facility</x:v>
      </x:c>
      <x:c r="AR40" s="18" t="str"/>
    </x:row>
    <x:row r="41" ht="28" hidden="0" customHeight="1">
      <x:c r="A41" s="16" t="str">
        <x:v>compute_atlas</x:v>
      </x:c>
      <x:c r="B41" s="23" t="str">
        <x:v>cleanspark-lenoir-city-tn</x:v>
      </x:c>
      <x:c r="C41" s="23" t="str">
        <x:v>CleanSpark Lenoir City Bitcoin Mining Facility</x:v>
      </x:c>
      <x:c r="D41" s="17" t="str"/>
      <x:c r="E41" s="23" t="str">
        <x:v>CleanSpark, Inc.</x:v>
      </x:c>
      <x:c r="F41" s="17" t="str"/>
      <x:c r="G41" s="23" t="str"/>
      <x:c r="H41" s="17" t="str"/>
      <x:c r="I41" s="17" t="str">
        <x:v>Lenoir City</x:v>
      </x:c>
      <x:c r="J41" s="26" t="str">
        <x:v>Loudon</x:v>
      </x:c>
      <x:c r="K41" s="17" t="str">
        <x:v>TN</x:v>
      </x:c>
      <x:c r="L41" s="17" t="str"/>
      <x:c r="M41" s="29" t="str">
        <x:v>35.7973</x:v>
      </x:c>
      <x:c r="N41" s="29" t="str">
        <x:v>-84.256</x:v>
      </x:c>
      <x:c r="O41" s="17" t="str">
        <x:v>approximate</x:v>
      </x:c>
      <x:c r="P41" s="17" t="str">
        <x:v>confirmed</x:v>
      </x:c>
      <x:c r="Q41" s="17" t="str"/>
      <x:c r="R41" s="17" t="str">
        <x:v>operational</x:v>
      </x:c>
      <x:c r="S41" s="17" t="str">
        <x:v>operational</x:v>
      </x:c>
      <x:c r="T41" s="17" t="str">
        <x:v>crypto_mining</x:v>
      </x:c>
      <x:c r="U41" s="17" t="str"/>
      <x:c r="V41" s="26" t="str"/>
      <x:c r="W41" s="26" t="str"/>
      <x:c r="X41" s="26" t="str"/>
      <x:c r="Y41" s="26" t="str"/>
      <x:c r="Z41" s="17" t="str"/>
      <x:c r="AA41" s="17" t="str"/>
      <x:c r="AB41" s="17" t="str"/>
      <x:c r="AC41" s="35" t="str"/>
      <x:c r="AD41" s="17" t="str"/>
      <x:c r="AE41" s="17" t="str"/>
      <x:c r="AF41" s="17" t="str"/>
      <x:c r="AG41" s="17" t="str"/>
      <x:c r="AH41" s="17" t="str"/>
      <x:c r="AI41" s="17" t="str">
        <x:v>2026-08-05</x:v>
      </x:c>
      <x:c r="AJ41" s="17" t="str">
        <x:v>https://www.globenewswire.com/news-release/2024/02/14/2828934/0/en/GRIID-Infrastructure-Announces-Plans-to-Double-Capacity-of-Lenoir-City-Tenn-Bitcoin-Mining-Operations.html | https://www.prnewswire.com/news-releases/cleanspark-announces-agreement-to-acquire-griid-infrastructure-based-on-an-enterprise-value-of-155-million-and-expansion-plans-of-over-400-mw-in-tennessee-302184116.html | https://www.sec.gov/Archives/edgar/data/827876/000119312525297510/clsk-20250930.htm</x:v>
      </x:c>
      <x:c r="AK41" s="17" t="str">
        <x:v>https://www.compute-atlas.com/api/facilities?state=TN</x:v>
      </x:c>
      <x:c r="AL41" s="23" t="str">
        <x:v>https://www.compute-atlas.com/api/facilities?state=TN</x:v>
      </x:c>
      <x:c r="AM41" s="23" t="str">
        <x:v>[]</x:v>
      </x:c>
      <x:c r="AN41" s="17" t="str">
        <x:v>crypto_mining</x:v>
      </x:c>
      <x:c r="AO41" s="77" t="b">
        <x:v>1</x:v>
      </x:c>
      <x:c r="AP41" s="23" t="str">
        <x:v>cleanspark</x:v>
      </x:c>
      <x:c r="AQ41" s="17" t="str">
        <x:v>cleanspark lenoir city bitcoin mining facility</x:v>
      </x:c>
      <x:c r="AR41" s="18" t="str"/>
    </x:row>
    <x:row r="42" ht="28" hidden="0" customHeight="1">
      <x:c r="A42" s="16" t="str">
        <x:v>compute_atlas</x:v>
      </x:c>
      <x:c r="B42" s="23" t="str">
        <x:v>cleanspark-limestone-tn</x:v>
      </x:c>
      <x:c r="C42" s="23" t="str">
        <x:v>CleanSpark Limestone Bitcoin Mining Facility (closed 2026)</x:v>
      </x:c>
      <x:c r="D42" s="17" t="str"/>
      <x:c r="E42" s="23" t="str">
        <x:v>CleanSpark, Inc.</x:v>
      </x:c>
      <x:c r="F42" s="17" t="str"/>
      <x:c r="G42" s="23" t="str"/>
      <x:c r="H42" s="17" t="str"/>
      <x:c r="I42" s="17" t="str">
        <x:v>Limestone</x:v>
      </x:c>
      <x:c r="J42" s="26" t="str">
        <x:v>Washington</x:v>
      </x:c>
      <x:c r="K42" s="17" t="str">
        <x:v>TN</x:v>
      </x:c>
      <x:c r="L42" s="17" t="str"/>
      <x:c r="M42" s="29" t="str">
        <x:v>36.2235</x:v>
      </x:c>
      <x:c r="N42" s="29" t="str">
        <x:v>-82.625</x:v>
      </x:c>
      <x:c r="O42" s="17" t="str">
        <x:v>approximate</x:v>
      </x:c>
      <x:c r="P42" s="17" t="str">
        <x:v>confirmed</x:v>
      </x:c>
      <x:c r="Q42" s="17" t="str"/>
      <x:c r="R42" s="17" t="str">
        <x:v>cancelled</x:v>
      </x:c>
      <x:c r="S42" s="17" t="str">
        <x:v>cancelled</x:v>
      </x:c>
      <x:c r="T42" s="17" t="str">
        <x:v>crypto_mining</x:v>
      </x:c>
      <x:c r="U42" s="17" t="str"/>
      <x:c r="V42" s="26" t="str"/>
      <x:c r="W42" s="26" t="str"/>
      <x:c r="X42" s="26" t="str"/>
      <x:c r="Y42" s="26" t="str"/>
      <x:c r="Z42" s="17" t="str"/>
      <x:c r="AA42" s="17" t="str"/>
      <x:c r="AB42" s="17" t="str"/>
      <x:c r="AC42" s="35" t="str"/>
      <x:c r="AD42" s="17" t="str"/>
      <x:c r="AE42" s="17" t="str"/>
      <x:c r="AF42" s="17" t="str"/>
      <x:c r="AG42" s="17" t="str"/>
      <x:c r="AH42" s="17" t="str"/>
      <x:c r="AI42" s="17" t="str">
        <x:v>2026-08-05</x:v>
      </x:c>
      <x:c r="AJ42" s="17" t="str">
        <x:v>https://www.prnewswire.com/news-releases/cleanspark-announces-agreement-to-acquire-griid-infrastructure-based-on-an-enterprise-value-of-155-million-and-expansion-plans-of-over-400-mw-in-tennessee-302184116.html | https://www.wjhl.com/news/local/bitcoin-mine-would-close-move-in-proposed-lawsuit-settlement/ | https://www.yahoo.com/news/articles/noisy-bitcoin-mine-shuts-down-212411956.html</x:v>
      </x:c>
      <x:c r="AK42" s="17" t="str">
        <x:v>https://www.compute-atlas.com/api/facilities?state=TN</x:v>
      </x:c>
      <x:c r="AL42" s="23" t="str">
        <x:v>https://www.compute-atlas.com/api/facilities?state=TN</x:v>
      </x:c>
      <x:c r="AM42" s="23" t="str">
        <x:v>[]</x:v>
      </x:c>
      <x:c r="AN42" s="17" t="str">
        <x:v>crypto_mining</x:v>
      </x:c>
      <x:c r="AO42" s="77" t="b">
        <x:v>1</x:v>
      </x:c>
      <x:c r="AP42" s="23" t="str">
        <x:v>cleanspark</x:v>
      </x:c>
      <x:c r="AQ42" s="17" t="str">
        <x:v>cleanspark limestone bitcoin mining facility closed 2026</x:v>
      </x:c>
      <x:c r="AR42" s="18" t="str"/>
    </x:row>
    <x:row r="43" ht="28" hidden="0" customHeight="1">
      <x:c r="A43" s="16" t="str">
        <x:v>compute_atlas</x:v>
      </x:c>
      <x:c r="B43" s="23" t="str">
        <x:v>cleanspark-maynardville-tn</x:v>
      </x:c>
      <x:c r="C43" s="23" t="str">
        <x:v>CleanSpark Maynardville Bitcoin Mining Facility</x:v>
      </x:c>
      <x:c r="D43" s="17" t="str"/>
      <x:c r="E43" s="23" t="str">
        <x:v>CleanSpark, Inc.</x:v>
      </x:c>
      <x:c r="F43" s="17" t="str"/>
      <x:c r="G43" s="23" t="str"/>
      <x:c r="H43" s="17" t="str"/>
      <x:c r="I43" s="17" t="str">
        <x:v>Maynardville</x:v>
      </x:c>
      <x:c r="J43" s="26" t="str">
        <x:v>Union</x:v>
      </x:c>
      <x:c r="K43" s="17" t="str">
        <x:v>TN</x:v>
      </x:c>
      <x:c r="L43" s="17" t="str"/>
      <x:c r="M43" s="29" t="str">
        <x:v>36.2506</x:v>
      </x:c>
      <x:c r="N43" s="29" t="str">
        <x:v>-83.7974</x:v>
      </x:c>
      <x:c r="O43" s="17" t="str">
        <x:v>approximate</x:v>
      </x:c>
      <x:c r="P43" s="17" t="str">
        <x:v>confirmed</x:v>
      </x:c>
      <x:c r="Q43" s="17" t="str"/>
      <x:c r="R43" s="17" t="str">
        <x:v>operational</x:v>
      </x:c>
      <x:c r="S43" s="17" t="str">
        <x:v>operational</x:v>
      </x:c>
      <x:c r="T43" s="17" t="str">
        <x:v>crypto_mining</x:v>
      </x:c>
      <x:c r="U43" s="17" t="str"/>
      <x:c r="V43" s="26" t="str"/>
      <x:c r="W43" s="26" t="str"/>
      <x:c r="X43" s="26" t="str"/>
      <x:c r="Y43" s="26" t="str"/>
      <x:c r="Z43" s="17" t="str"/>
      <x:c r="AA43" s="17" t="str"/>
      <x:c r="AB43" s="17" t="str"/>
      <x:c r="AC43" s="35" t="str"/>
      <x:c r="AD43" s="17" t="str"/>
      <x:c r="AE43" s="17" t="str"/>
      <x:c r="AF43" s="17" t="str"/>
      <x:c r="AG43" s="17" t="str"/>
      <x:c r="AH43" s="17" t="str"/>
      <x:c r="AI43" s="17" t="str">
        <x:v>2026-08-05</x:v>
      </x:c>
      <x:c r="AJ43" s="17" t="str">
        <x:v>https://www.prnewswire.com/news-releases/cleanspark-announces-agreement-to-acquire-griid-infrastructure-based-on-an-enterprise-value-of-155-million-and-expansion-plans-of-over-400-mw-in-tennessee-302184116.html | https://www.sec.gov/Archives/edgar/data/827876/000119312525297510/clsk-20250930.htm</x:v>
      </x:c>
      <x:c r="AK43" s="17" t="str">
        <x:v>https://www.compute-atlas.com/api/facilities?state=TN</x:v>
      </x:c>
      <x:c r="AL43" s="23" t="str">
        <x:v>https://www.compute-atlas.com/api/facilities?state=TN</x:v>
      </x:c>
      <x:c r="AM43" s="23" t="str">
        <x:v>[]</x:v>
      </x:c>
      <x:c r="AN43" s="17" t="str">
        <x:v>crypto_mining</x:v>
      </x:c>
      <x:c r="AO43" s="77" t="b">
        <x:v>1</x:v>
      </x:c>
      <x:c r="AP43" s="23" t="str">
        <x:v>cleanspark</x:v>
      </x:c>
      <x:c r="AQ43" s="17" t="str">
        <x:v>cleanspark maynardville bitcoin mining facility</x:v>
      </x:c>
      <x:c r="AR43" s="18" t="str"/>
    </x:row>
    <x:row r="44" ht="28" hidden="0" customHeight="1">
      <x:c r="A44" s="16" t="str">
        <x:v>compute_atlas</x:v>
      </x:c>
      <x:c r="B44" s="23" t="str">
        <x:v>cleanspark-new-tazewell-tn</x:v>
      </x:c>
      <x:c r="C44" s="23" t="str">
        <x:v>CleanSpark New Tazewell Bitcoin Mining Facility</x:v>
      </x:c>
      <x:c r="D44" s="17" t="str"/>
      <x:c r="E44" s="23" t="str">
        <x:v>CleanSpark, Inc.</x:v>
      </x:c>
      <x:c r="F44" s="17" t="str"/>
      <x:c r="G44" s="23" t="str"/>
      <x:c r="H44" s="17" t="str"/>
      <x:c r="I44" s="17" t="str">
        <x:v>New Tazewell</x:v>
      </x:c>
      <x:c r="J44" s="26" t="str">
        <x:v>Claiborne</x:v>
      </x:c>
      <x:c r="K44" s="17" t="str">
        <x:v>TN</x:v>
      </x:c>
      <x:c r="L44" s="17" t="str"/>
      <x:c r="M44" s="29" t="str">
        <x:v>36.4426</x:v>
      </x:c>
      <x:c r="N44" s="29" t="str">
        <x:v>-83.5996</x:v>
      </x:c>
      <x:c r="O44" s="17" t="str">
        <x:v>approximate</x:v>
      </x:c>
      <x:c r="P44" s="17" t="str">
        <x:v>reported</x:v>
      </x:c>
      <x:c r="Q44" s="17" t="str"/>
      <x:c r="R44" s="17" t="str">
        <x:v>operational</x:v>
      </x:c>
      <x:c r="S44" s="17" t="str">
        <x:v>operational</x:v>
      </x:c>
      <x:c r="T44" s="17" t="str">
        <x:v>crypto_mining</x:v>
      </x:c>
      <x:c r="U44" s="17" t="str"/>
      <x:c r="V44" s="26" t="str"/>
      <x:c r="W44" s="26" t="str"/>
      <x:c r="X44" s="26" t="str"/>
      <x:c r="Y44" s="26" t="str"/>
      <x:c r="Z44" s="17" t="str"/>
      <x:c r="AA44" s="17" t="str"/>
      <x:c r="AB44" s="17" t="str"/>
      <x:c r="AC44" s="35" t="str"/>
      <x:c r="AD44" s="17" t="str"/>
      <x:c r="AE44" s="17" t="str"/>
      <x:c r="AF44" s="17" t="str"/>
      <x:c r="AG44" s="17" t="str"/>
      <x:c r="AH44" s="17" t="str"/>
      <x:c r="AI44" s="17" t="str">
        <x:v>2026-08-05</x:v>
      </x:c>
      <x:c r="AJ44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K44" s="17" t="str">
        <x:v>https://www.compute-atlas.com/api/facilities?state=TN</x:v>
      </x:c>
      <x:c r="AL44" s="23" t="str">
        <x:v>https://www.compute-atlas.com/api/facilities?state=TN</x:v>
      </x:c>
      <x:c r="AM44" s="23" t="str">
        <x:v>[]</x:v>
      </x:c>
      <x:c r="AN44" s="17" t="str">
        <x:v>crypto_mining</x:v>
      </x:c>
      <x:c r="AO44" s="77" t="b">
        <x:v>1</x:v>
      </x:c>
      <x:c r="AP44" s="23" t="str">
        <x:v>cleanspark</x:v>
      </x:c>
      <x:c r="AQ44" s="17" t="str">
        <x:v>cleanspark new tazewell bitcoin mining facility</x:v>
      </x:c>
      <x:c r="AR44" s="18" t="str"/>
    </x:row>
    <x:row r="45" ht="28" hidden="0" customHeight="1">
      <x:c r="A45" s="16" t="str">
        <x:v>compute_atlas</x:v>
      </x:c>
      <x:c r="B45" s="23" t="str">
        <x:v>cleanspark-oneida-tn</x:v>
      </x:c>
      <x:c r="C45" s="23" t="str">
        <x:v>CleanSpark Oneida Bitcoin Mining Facility</x:v>
      </x:c>
      <x:c r="D45" s="17" t="str"/>
      <x:c r="E45" s="23" t="str">
        <x:v>CleanSpark, Inc.</x:v>
      </x:c>
      <x:c r="F45" s="17" t="str"/>
      <x:c r="G45" s="23" t="str"/>
      <x:c r="H45" s="17" t="str"/>
      <x:c r="I45" s="17" t="str">
        <x:v>Oneida</x:v>
      </x:c>
      <x:c r="J45" s="26" t="str">
        <x:v>Scott</x:v>
      </x:c>
      <x:c r="K45" s="17" t="str">
        <x:v>TN</x:v>
      </x:c>
      <x:c r="L45" s="17" t="str"/>
      <x:c r="M45" s="29" t="str">
        <x:v>36.4981</x:v>
      </x:c>
      <x:c r="N45" s="29" t="str">
        <x:v>-84.5127</x:v>
      </x:c>
      <x:c r="O45" s="17" t="str">
        <x:v>approximate</x:v>
      </x:c>
      <x:c r="P45" s="17" t="str">
        <x:v>confirmed</x:v>
      </x:c>
      <x:c r="Q45" s="17" t="str"/>
      <x:c r="R45" s="17" t="str">
        <x:v>operational</x:v>
      </x:c>
      <x:c r="S45" s="17" t="str">
        <x:v>operational</x:v>
      </x:c>
      <x:c r="T45" s="17" t="str">
        <x:v>crypto_mining</x:v>
      </x:c>
      <x:c r="U45" s="17" t="str"/>
      <x:c r="V45" s="26" t="str"/>
      <x:c r="W45" s="26" t="str"/>
      <x:c r="X45" s="26" t="str"/>
      <x:c r="Y45" s="26" t="str"/>
      <x:c r="Z45" s="17" t="str"/>
      <x:c r="AA45" s="17" t="str"/>
      <x:c r="AB45" s="17" t="str"/>
      <x:c r="AC45" s="35" t="str"/>
      <x:c r="AD45" s="17" t="str"/>
      <x:c r="AE45" s="17" t="str"/>
      <x:c r="AF45" s="17" t="str"/>
      <x:c r="AG45" s="17" t="str"/>
      <x:c r="AH45" s="17" t="str"/>
      <x:c r="AI45" s="17" t="str">
        <x:v>2026-08-05</x:v>
      </x:c>
      <x:c r="AJ45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K45" s="17" t="str">
        <x:v>https://www.compute-atlas.com/api/facilities?state=TN</x:v>
      </x:c>
      <x:c r="AL45" s="23" t="str">
        <x:v>https://www.compute-atlas.com/api/facilities?state=TN</x:v>
      </x:c>
      <x:c r="AM45" s="23" t="str">
        <x:v>[]</x:v>
      </x:c>
      <x:c r="AN45" s="17" t="str">
        <x:v>crypto_mining</x:v>
      </x:c>
      <x:c r="AO45" s="77" t="b">
        <x:v>1</x:v>
      </x:c>
      <x:c r="AP45" s="23" t="str">
        <x:v>cleanspark</x:v>
      </x:c>
      <x:c r="AQ45" s="17" t="str">
        <x:v>cleanspark oneida bitcoin mining facility</x:v>
      </x:c>
      <x:c r="AR45" s="18" t="str"/>
    </x:row>
    <x:row r="46" ht="28" hidden="0" customHeight="1">
      <x:c r="A46" s="16" t="str">
        <x:v>compute_atlas</x:v>
      </x:c>
      <x:c r="B46" s="23" t="str">
        <x:v>cleanspark-west-crossville-tn</x:v>
      </x:c>
      <x:c r="C46" s="23" t="str">
        <x:v>CleanSpark West Crossville Bitcoin Mining Facility</x:v>
      </x:c>
      <x:c r="D46" s="17" t="str"/>
      <x:c r="E46" s="23" t="str">
        <x:v>CleanSpark, Inc.</x:v>
      </x:c>
      <x:c r="F46" s="17" t="str"/>
      <x:c r="G46" s="23" t="str"/>
      <x:c r="H46" s="17" t="str"/>
      <x:c r="I46" s="17" t="str">
        <x:v>Crossville</x:v>
      </x:c>
      <x:c r="J46" s="26" t="str">
        <x:v>Cumberland</x:v>
      </x:c>
      <x:c r="K46" s="17" t="str">
        <x:v>TN</x:v>
      </x:c>
      <x:c r="L46" s="17" t="str"/>
      <x:c r="M46" s="29" t="str">
        <x:v>35.9487</x:v>
      </x:c>
      <x:c r="N46" s="29" t="str">
        <x:v>-85.0269</x:v>
      </x:c>
      <x:c r="O46" s="17" t="str">
        <x:v>approximate</x:v>
      </x:c>
      <x:c r="P46" s="17" t="str">
        <x:v>confirmed</x:v>
      </x:c>
      <x:c r="Q46" s="17" t="str"/>
      <x:c r="R46" s="17" t="str">
        <x:v>operational</x:v>
      </x:c>
      <x:c r="S46" s="17" t="str">
        <x:v>operational</x:v>
      </x:c>
      <x:c r="T46" s="17" t="str">
        <x:v>crypto_mining</x:v>
      </x:c>
      <x:c r="U46" s="17" t="str"/>
      <x:c r="V46" s="26" t="str"/>
      <x:c r="W46" s="26" t="str"/>
      <x:c r="X46" s="26" t="str"/>
      <x:c r="Y46" s="26" t="str"/>
      <x:c r="Z46" s="17" t="str"/>
      <x:c r="AA46" s="17" t="str"/>
      <x:c r="AB46" s="17" t="str"/>
      <x:c r="AC46" s="35" t="str"/>
      <x:c r="AD46" s="17" t="str"/>
      <x:c r="AE46" s="17" t="str"/>
      <x:c r="AF46" s="17" t="str"/>
      <x:c r="AG46" s="17" t="str"/>
      <x:c r="AH46" s="17" t="str"/>
      <x:c r="AI46" s="17" t="str">
        <x:v>2026-08-05</x:v>
      </x:c>
      <x:c r="AJ46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K46" s="17" t="str">
        <x:v>https://www.compute-atlas.com/api/facilities?state=TN</x:v>
      </x:c>
      <x:c r="AL46" s="23" t="str">
        <x:v>https://www.compute-atlas.com/api/facilities?state=TN</x:v>
      </x:c>
      <x:c r="AM46" s="23" t="str">
        <x:v>[]</x:v>
      </x:c>
      <x:c r="AN46" s="17" t="str">
        <x:v>crypto_mining</x:v>
      </x:c>
      <x:c r="AO46" s="77" t="b">
        <x:v>1</x:v>
      </x:c>
      <x:c r="AP46" s="23" t="str">
        <x:v>cleanspark</x:v>
      </x:c>
      <x:c r="AQ46" s="17" t="str">
        <x:v>cleanspark west crossville bitcoin mining facility</x:v>
      </x:c>
      <x:c r="AR46" s="18" t="str"/>
    </x:row>
    <x:row r="47" ht="28" hidden="0" customHeight="1">
      <x:c r="A47" s="16" t="str">
        <x:v>compute_atlas</x:v>
      </x:c>
      <x:c r="B47" s="23" t="str">
        <x:v>cleanspark-winfield-tn</x:v>
      </x:c>
      <x:c r="C47" s="23" t="str">
        <x:v>CleanSpark Winfield Bitcoin Mining Facility</x:v>
      </x:c>
      <x:c r="D47" s="17" t="str"/>
      <x:c r="E47" s="23" t="str">
        <x:v>CleanSpark, Inc.</x:v>
      </x:c>
      <x:c r="F47" s="17" t="str"/>
      <x:c r="G47" s="23" t="str"/>
      <x:c r="H47" s="17" t="str"/>
      <x:c r="I47" s="17" t="str">
        <x:v>Winfield</x:v>
      </x:c>
      <x:c r="J47" s="26" t="str">
        <x:v>Scott</x:v>
      </x:c>
      <x:c r="K47" s="17" t="str">
        <x:v>TN</x:v>
      </x:c>
      <x:c r="L47" s="17" t="str"/>
      <x:c r="M47" s="29" t="str">
        <x:v>36.5619</x:v>
      </x:c>
      <x:c r="N47" s="29" t="str">
        <x:v>-84.4506</x:v>
      </x:c>
      <x:c r="O47" s="17" t="str">
        <x:v>approximate</x:v>
      </x:c>
      <x:c r="P47" s="17" t="str">
        <x:v>confirmed</x:v>
      </x:c>
      <x:c r="Q47" s="17" t="str"/>
      <x:c r="R47" s="17" t="str">
        <x:v>operational</x:v>
      </x:c>
      <x:c r="S47" s="17" t="str">
        <x:v>operational</x:v>
      </x:c>
      <x:c r="T47" s="17" t="str">
        <x:v>crypto_mining</x:v>
      </x:c>
      <x:c r="U47" s="17" t="str"/>
      <x:c r="V47" s="26" t="str"/>
      <x:c r="W47" s="26" t="str"/>
      <x:c r="X47" s="26" t="str"/>
      <x:c r="Y47" s="26" t="str"/>
      <x:c r="Z47" s="17" t="str"/>
      <x:c r="AA47" s="17" t="str"/>
      <x:c r="AB47" s="17" t="str"/>
      <x:c r="AC47" s="35" t="str"/>
      <x:c r="AD47" s="17" t="str"/>
      <x:c r="AE47" s="17" t="str"/>
      <x:c r="AF47" s="17" t="str"/>
      <x:c r="AG47" s="17" t="str"/>
      <x:c r="AH47" s="17" t="str"/>
      <x:c r="AI47" s="17" t="str">
        <x:v>2026-08-05</x:v>
      </x:c>
      <x:c r="AJ47" s="17" t="str">
        <x:v>https://www.prnewswire.com/news-releases/cleanspark-to-add-5-ehs-and-increase-2024-guidance-with-acquisition-of-seven-additional-bitcoin-mining-facilities-in-tennessee-302244673.html | https://www.sec.gov/Archives/edgar/data/827876/000119312525297510/clsk-20250930.htm</x:v>
      </x:c>
      <x:c r="AK47" s="17" t="str">
        <x:v>https://www.compute-atlas.com/api/facilities?state=TN</x:v>
      </x:c>
      <x:c r="AL47" s="23" t="str">
        <x:v>https://www.compute-atlas.com/api/facilities?state=TN</x:v>
      </x:c>
      <x:c r="AM47" s="23" t="str">
        <x:v>[]</x:v>
      </x:c>
      <x:c r="AN47" s="17" t="str">
        <x:v>crypto_mining</x:v>
      </x:c>
      <x:c r="AO47" s="77" t="b">
        <x:v>1</x:v>
      </x:c>
      <x:c r="AP47" s="23" t="str">
        <x:v>cleanspark</x:v>
      </x:c>
      <x:c r="AQ47" s="17" t="str">
        <x:v>cleanspark winfield bitcoin mining facility</x:v>
      </x:c>
      <x:c r="AR47" s="18" t="str"/>
    </x:row>
    <x:row r="48" ht="28" hidden="0" customHeight="1">
      <x:c r="A48" s="16" t="str">
        <x:v>compute_atlas</x:v>
      </x:c>
      <x:c r="B48" s="23" t="str">
        <x:v>databank-mem1-memphis-tn</x:v>
      </x:c>
      <x:c r="C48" s="23" t="str">
        <x:v>DataBank MEM1 (Memphis)</x:v>
      </x:c>
      <x:c r="D48" s="17" t="str"/>
      <x:c r="E48" s="23" t="str">
        <x:v>DataBank</x:v>
      </x:c>
      <x:c r="F48" s="17" t="str"/>
      <x:c r="G48" s="23" t="str"/>
      <x:c r="H48" s="17" t="str"/>
      <x:c r="I48" s="17" t="str">
        <x:v>Memphis</x:v>
      </x:c>
      <x:c r="J48" s="26" t="str">
        <x:v>Shelby</x:v>
      </x:c>
      <x:c r="K48" s="17" t="str">
        <x:v>TN</x:v>
      </x:c>
      <x:c r="L48" s="17" t="str"/>
      <x:c r="M48" s="29" t="str">
        <x:v>35.20249</x:v>
      </x:c>
      <x:c r="N48" s="29" t="str">
        <x:v>-89.8097</x:v>
      </x:c>
      <x:c r="O48" s="17" t="str">
        <x:v>exact</x:v>
      </x:c>
      <x:c r="P48" s="17" t="str">
        <x:v>confirmed</x:v>
      </x:c>
      <x:c r="Q48" s="17" t="str"/>
      <x:c r="R48" s="17" t="str">
        <x:v>operational</x:v>
      </x:c>
      <x:c r="S48" s="17" t="str">
        <x:v>operational</x:v>
      </x:c>
      <x:c r="T48" s="17" t="str">
        <x:v>data_center</x:v>
      </x:c>
      <x:c r="U48" s="17" t="str"/>
      <x:c r="V48" s="26" t="str"/>
      <x:c r="W48" s="26" t="str"/>
      <x:c r="X48" s="26" t="str"/>
      <x:c r="Y48" s="26" t="str"/>
      <x:c r="Z48" s="17" t="str"/>
      <x:c r="AA48" s="17" t="str"/>
      <x:c r="AB48" s="17" t="str"/>
      <x:c r="AC48" s="35" t="str"/>
      <x:c r="AD48" s="17" t="str"/>
      <x:c r="AE48" s="17" t="str"/>
      <x:c r="AF48" s="17" t="str"/>
      <x:c r="AG48" s="17" t="str"/>
      <x:c r="AH48" s="17" t="str"/>
      <x:c r="AI48" s="17" t="str">
        <x:v>2026-08-15</x:v>
      </x:c>
      <x:c r="AJ48" s="17" t="str">
        <x:v>https://baxtel.com/data-center/memphis | https://www.databank.com/data-centers/memphis/7620-appling-center-drive/</x:v>
      </x:c>
      <x:c r="AK48" s="17" t="str">
        <x:v>https://www.compute-atlas.com/api/facilities?state=TN</x:v>
      </x:c>
      <x:c r="AL48" s="23" t="str">
        <x:v>https://www.compute-atlas.com/api/facilities?state=TN</x:v>
      </x:c>
      <x:c r="AM48" s="23" t="str">
        <x:v>[]</x:v>
      </x:c>
      <x:c r="AN48" s="17" t="str">
        <x:v>core_data_center</x:v>
      </x:c>
      <x:c r="AO48" s="77" t="b">
        <x:v>1</x:v>
      </x:c>
      <x:c r="AP48" s="23" t="str">
        <x:v>databank</x:v>
      </x:c>
      <x:c r="AQ48" s="17" t="str">
        <x:v>databank mem1 memphis</x:v>
      </x:c>
      <x:c r="AR48" s="18" t="str"/>
    </x:row>
    <x:row r="49" ht="28" hidden="0" customHeight="1">
      <x:c r="A49" s="16" t="str">
        <x:v>compute_atlas</x:v>
      </x:c>
      <x:c r="B49" s="23" t="str">
        <x:v>dcblox-nashville-grassmere-tn</x:v>
      </x:c>
      <x:c r="C49" s="23" t="str">
        <x:v>DC BLOX Nashville (Grassmere Park)</x:v>
      </x:c>
      <x:c r="D49" s="17" t="str"/>
      <x:c r="E49" s="23" t="str">
        <x:v>DC BLOX</x:v>
      </x:c>
      <x:c r="F49" s="17" t="str"/>
      <x:c r="G49" s="23" t="str"/>
      <x:c r="H49" s="17" t="str"/>
      <x:c r="I49" s="17" t="str">
        <x:v>Nashville</x:v>
      </x:c>
      <x:c r="J49" s="26" t="str">
        <x:v>Davidson</x:v>
      </x:c>
      <x:c r="K49" s="17" t="str">
        <x:v>TN</x:v>
      </x:c>
      <x:c r="L49" s="17" t="str"/>
      <x:c r="M49" s="29" t="str">
        <x:v>36.0865</x:v>
      </x:c>
      <x:c r="N49" s="29" t="str">
        <x:v>-86.74893</x:v>
      </x:c>
      <x:c r="O49" s="17" t="str">
        <x:v>approximate</x:v>
      </x:c>
      <x:c r="P49" s="17" t="str">
        <x:v>confirmed</x:v>
      </x:c>
      <x:c r="Q49" s="17" t="str"/>
      <x:c r="R49" s="17" t="str">
        <x:v>proposed</x:v>
      </x:c>
      <x:c r="S49" s="17" t="str">
        <x:v>proposed</x:v>
      </x:c>
      <x:c r="T49" s="17" t="str">
        <x:v>data_center</x:v>
      </x:c>
      <x:c r="U49" s="17" t="str"/>
      <x:c r="V49" s="26" t="str"/>
      <x:c r="W49" s="26" t="str"/>
      <x:c r="X49" s="26" t="str"/>
      <x:c r="Y49" s="26" t="str"/>
      <x:c r="Z49" s="17" t="str"/>
      <x:c r="AA49" s="17" t="str"/>
      <x:c r="AB49" s="17" t="str"/>
      <x:c r="AC49" s="35" t="str"/>
      <x:c r="AD49" s="17" t="str"/>
      <x:c r="AE49" s="17" t="str"/>
      <x:c r="AF49" s="17" t="str"/>
      <x:c r="AG49" s="17" t="str"/>
      <x:c r="AH49" s="17" t="str"/>
      <x:c r="AI49" s="17" t="str">
        <x:v>2026-08-15</x:v>
      </x:c>
      <x:c r="AJ49" s="17" t="str">
        <x:v>https://williamsonsource.com/dc-blox-sues-metro-over-blocked-data-center-project-near-nashville-zoo/ | https://www.wsmv.com/2026/07/22/metro-council-passes-first-data-center-regulations-nashville-heres-what-changes/ | https://www.yahoo.com/news/us/articles/guide-data-centers-tennessee-could-081728521.html</x:v>
      </x:c>
      <x:c r="AK49" s="17" t="str">
        <x:v>https://www.compute-atlas.com/api/facilities?state=TN</x:v>
      </x:c>
      <x:c r="AL49" s="23" t="str">
        <x:v>https://www.compute-atlas.com/api/facilities?state=TN</x:v>
      </x:c>
      <x:c r="AM49" s="23" t="str">
        <x:v>[]</x:v>
      </x:c>
      <x:c r="AN49" s="17" t="str">
        <x:v>core_data_center</x:v>
      </x:c>
      <x:c r="AO49" s="77" t="b">
        <x:v>1</x:v>
      </x:c>
      <x:c r="AP49" s="23" t="str">
        <x:v>dc blox</x:v>
      </x:c>
      <x:c r="AQ49" s="17" t="str">
        <x:v>dc blox nashville grassmere park</x:v>
      </x:c>
      <x:c r="AR49" s="18" t="str"/>
    </x:row>
    <x:row r="50" ht="28" hidden="0" customHeight="1">
      <x:c r="A50" s="16" t="str">
        <x:v>compute_atlas</x:v>
      </x:c>
      <x:c r="B50" s="23" t="str">
        <x:v>flexential-nashville-brentwood-nas01-04-tn</x:v>
      </x:c>
      <x:c r="C50" s="23" t="str">
        <x:v>Flexential Nashville - Brentwood (NAS01/04)</x:v>
      </x:c>
      <x:c r="D50" s="17" t="str"/>
      <x:c r="E50" s="23" t="str">
        <x:v>Flexential</x:v>
      </x:c>
      <x:c r="F50" s="17" t="str"/>
      <x:c r="G50" s="23" t="str">
        <x:v>7100 Commerce Way</x:v>
      </x:c>
      <x:c r="H50" s="17" t="str"/>
      <x:c r="I50" s="17" t="str">
        <x:v>Brentwood</x:v>
      </x:c>
      <x:c r="J50" s="26" t="str">
        <x:v>Williamson</x:v>
      </x:c>
      <x:c r="K50" s="17" t="str">
        <x:v>TN</x:v>
      </x:c>
      <x:c r="L50" s="17" t="str">
        <x:v>37027</x:v>
      </x:c>
      <x:c r="M50" s="29" t="str">
        <x:v>35.9727294</x:v>
      </x:c>
      <x:c r="N50" s="29" t="str">
        <x:v>-86.8084949</x:v>
      </x:c>
      <x:c r="O50" s="17" t="str">
        <x:v>approximate</x:v>
      </x:c>
      <x:c r="P50" s="17" t="str">
        <x:v>reported</x:v>
      </x:c>
      <x:c r="Q50" s="17" t="str"/>
      <x:c r="R50" s="17" t="str">
        <x:v>operational</x:v>
      </x:c>
      <x:c r="S50" s="17" t="str">
        <x:v>operational</x:v>
      </x:c>
      <x:c r="T50" s="17" t="str">
        <x:v>data_center</x:v>
      </x:c>
      <x:c r="U50" s="17" t="str"/>
      <x:c r="V50" s="26" t="str"/>
      <x:c r="W50" s="26" t="str"/>
      <x:c r="X50" s="26" t="str"/>
      <x:c r="Y50" s="26" t="str"/>
      <x:c r="Z50" s="17" t="str"/>
      <x:c r="AA50" s="17" t="str"/>
      <x:c r="AB50" s="17" t="str"/>
      <x:c r="AC50" s="35" t="str"/>
      <x:c r="AD50" s="17" t="str"/>
      <x:c r="AE50" s="17" t="str"/>
      <x:c r="AF50" s="17" t="str"/>
      <x:c r="AG50" s="17" t="str"/>
      <x:c r="AH50" s="17" t="str"/>
      <x:c r="AI50" s="17" t="str">
        <x:v>2026-07-23</x:v>
      </x:c>
      <x:c r="AJ50" s="17" t="str">
        <x:v>https://www.flexential.com/data-centers/tn/nashville/brentwood-data-center | https://www.openstreetmap.org/node/12112295055</x:v>
      </x:c>
      <x:c r="AK50" s="17" t="str">
        <x:v>https://www.compute-atlas.com/api/facilities?state=TN</x:v>
      </x:c>
      <x:c r="AL50" s="23" t="str">
        <x:v>https://www.compute-atlas.com/api/facilities?state=TN</x:v>
      </x:c>
      <x:c r="AM50" s="23" t="str">
        <x:v>[]</x:v>
      </x:c>
      <x:c r="AN50" s="17" t="str">
        <x:v>core_data_center</x:v>
      </x:c>
      <x:c r="AO50" s="77" t="b">
        <x:v>1</x:v>
      </x:c>
      <x:c r="AP50" s="23" t="str">
        <x:v>flexential</x:v>
      </x:c>
      <x:c r="AQ50" s="17" t="str">
        <x:v>flexential nashville brentwood nas01 04</x:v>
      </x:c>
      <x:c r="AR50" s="18" t="str">
        <x:v>7100 commerce way</x:v>
      </x:c>
    </x:row>
    <x:row r="51" ht="28" hidden="0" customHeight="1">
      <x:c r="A51" s="16" t="str">
        <x:v>compute_atlas</x:v>
      </x:c>
      <x:c r="B51" s="23" t="str">
        <x:v>flexential-nashville-cool-springs-tn</x:v>
      </x:c>
      <x:c r="C51" s="23" t="str">
        <x:v>Flexential Nashville - Cool Springs</x:v>
      </x:c>
      <x:c r="D51" s="17" t="str"/>
      <x:c r="E51" s="23" t="str">
        <x:v>Flexential</x:v>
      </x:c>
      <x:c r="F51" s="17" t="str"/>
      <x:c r="G51" s="23" t="str">
        <x:v>425 Duke Drive</x:v>
      </x:c>
      <x:c r="H51" s="17" t="str"/>
      <x:c r="I51" s="17" t="str">
        <x:v>Franklin</x:v>
      </x:c>
      <x:c r="J51" s="26" t="str">
        <x:v>Williamson</x:v>
      </x:c>
      <x:c r="K51" s="17" t="str">
        <x:v>TN</x:v>
      </x:c>
      <x:c r="L51" s="17" t="str">
        <x:v>37067</x:v>
      </x:c>
      <x:c r="M51" s="29" t="str">
        <x:v>35.951045</x:v>
      </x:c>
      <x:c r="N51" s="29" t="str">
        <x:v>-86.833406</x:v>
      </x:c>
      <x:c r="O51" s="17" t="str">
        <x:v>exact</x:v>
      </x:c>
      <x:c r="P51" s="17" t="str">
        <x:v>reported</x:v>
      </x:c>
      <x:c r="Q51" s="17" t="str"/>
      <x:c r="R51" s="17" t="str">
        <x:v>operational</x:v>
      </x:c>
      <x:c r="S51" s="17" t="str">
        <x:v>operational</x:v>
      </x:c>
      <x:c r="T51" s="17" t="str">
        <x:v>data_center</x:v>
      </x:c>
      <x:c r="U51" s="17" t="str"/>
      <x:c r="V51" s="26" t="str"/>
      <x:c r="W51" s="26" t="str"/>
      <x:c r="X51" s="26" t="str"/>
      <x:c r="Y51" s="26" t="str"/>
      <x:c r="Z51" s="17" t="str"/>
      <x:c r="AA51" s="17" t="str"/>
      <x:c r="AB51" s="17" t="str"/>
      <x:c r="AC51" s="35" t="str"/>
      <x:c r="AD51" s="17" t="str"/>
      <x:c r="AE51" s="17" t="str"/>
      <x:c r="AF51" s="17" t="str"/>
      <x:c r="AG51" s="17" t="str"/>
      <x:c r="AH51" s="17" t="str"/>
      <x:c r="AI51" s="17" t="str">
        <x:v>2026-07-23</x:v>
      </x:c>
      <x:c r="AJ51" s="17" t="str">
        <x:v>https://www.arcgis.com/home/item.html?id=597555ce8e4a4892a030784a7c657fdd | https://www.flexential.com/data-centers/tn/nashville/cool-springs-data-center | https://www.openstreetmap.org/way/1210515186</x:v>
      </x:c>
      <x:c r="AK51" s="17" t="str">
        <x:v>https://www.compute-atlas.com/api/facilities?state=TN</x:v>
      </x:c>
      <x:c r="AL51" s="23" t="str">
        <x:v>https://www.compute-atlas.com/api/facilities?state=TN</x:v>
      </x:c>
      <x:c r="AM51" s="23" t="str">
        <x:v>[]</x:v>
      </x:c>
      <x:c r="AN51" s="17" t="str">
        <x:v>core_data_center</x:v>
      </x:c>
      <x:c r="AO51" s="77" t="b">
        <x:v>1</x:v>
      </x:c>
      <x:c r="AP51" s="23" t="str">
        <x:v>flexential</x:v>
      </x:c>
      <x:c r="AQ51" s="17" t="str">
        <x:v>flexential nashville cool springs</x:v>
      </x:c>
      <x:c r="AR51" s="18" t="str">
        <x:v>425 duke dr</x:v>
      </x:c>
    </x:row>
    <x:row r="52" ht="28" hidden="0" customHeight="1">
      <x:c r="A52" s="16" t="str">
        <x:v>compute_atlas</x:v>
      </x:c>
      <x:c r="B52" s="23" t="str">
        <x:v>flexential-nashville-franklin-tn</x:v>
      </x:c>
      <x:c r="C52" s="23" t="str">
        <x:v>Flexential Nashville - Franklin</x:v>
      </x:c>
      <x:c r="D52" s="17" t="str"/>
      <x:c r="E52" s="23" t="str">
        <x:v>Flexential</x:v>
      </x:c>
      <x:c r="F52" s="17" t="str"/>
      <x:c r="G52" s="23" t="str">
        <x:v>4600 Carothers Parkway</x:v>
      </x:c>
      <x:c r="H52" s="17" t="str"/>
      <x:c r="I52" s="17" t="str">
        <x:v>Franklin</x:v>
      </x:c>
      <x:c r="J52" s="26" t="str">
        <x:v>Williamson</x:v>
      </x:c>
      <x:c r="K52" s="17" t="str">
        <x:v>TN</x:v>
      </x:c>
      <x:c r="L52" s="17" t="str">
        <x:v>37067</x:v>
      </x:c>
      <x:c r="M52" s="29" t="str">
        <x:v>35.9204203</x:v>
      </x:c>
      <x:c r="N52" s="29" t="str">
        <x:v>-86.8155401</x:v>
      </x:c>
      <x:c r="O52" s="17" t="str">
        <x:v>exact</x:v>
      </x:c>
      <x:c r="P52" s="17" t="str">
        <x:v>reported</x:v>
      </x:c>
      <x:c r="Q52" s="17" t="str"/>
      <x:c r="R52" s="17" t="str">
        <x:v>operational</x:v>
      </x:c>
      <x:c r="S52" s="17" t="str">
        <x:v>operational</x:v>
      </x:c>
      <x:c r="T52" s="17" t="str">
        <x:v>data_center</x:v>
      </x:c>
      <x:c r="U52" s="17" t="str"/>
      <x:c r="V52" s="26" t="str"/>
      <x:c r="W52" s="26" t="str"/>
      <x:c r="X52" s="26" t="str"/>
      <x:c r="Y52" s="26" t="str"/>
      <x:c r="Z52" s="17" t="str"/>
      <x:c r="AA52" s="17" t="str"/>
      <x:c r="AB52" s="17" t="str"/>
      <x:c r="AC52" s="35" t="str"/>
      <x:c r="AD52" s="17" t="str"/>
      <x:c r="AE52" s="17" t="str"/>
      <x:c r="AF52" s="17" t="str"/>
      <x:c r="AG52" s="17" t="str"/>
      <x:c r="AH52" s="17" t="str"/>
      <x:c r="AI52" s="17" t="str">
        <x:v>2026-07-23</x:v>
      </x:c>
      <x:c r="AJ52" s="17" t="str">
        <x:v>https://www.arcgis.com/home/item.html?id=597555ce8e4a4892a030784a7c657fdd | https://www.flexential.com/data-centers/tn/nashville/franklin-data-center | https://www.openstreetmap.org/way/942604537</x:v>
      </x:c>
      <x:c r="AK52" s="17" t="str">
        <x:v>https://www.compute-atlas.com/api/facilities?state=TN</x:v>
      </x:c>
      <x:c r="AL52" s="23" t="str">
        <x:v>https://www.compute-atlas.com/api/facilities?state=TN</x:v>
      </x:c>
      <x:c r="AM52" s="23" t="str">
        <x:v>[]</x:v>
      </x:c>
      <x:c r="AN52" s="17" t="str">
        <x:v>core_data_center</x:v>
      </x:c>
      <x:c r="AO52" s="77" t="b">
        <x:v>1</x:v>
      </x:c>
      <x:c r="AP52" s="23" t="str">
        <x:v>flexential</x:v>
      </x:c>
      <x:c r="AQ52" s="17" t="str">
        <x:v>flexential nashville franklin</x:v>
      </x:c>
      <x:c r="AR52" s="18" t="str">
        <x:v>4600 carothers pkwy</x:v>
      </x:c>
    </x:row>
    <x:row r="53" ht="28" hidden="0" customHeight="1">
      <x:c r="A53" s="16" t="str">
        <x:v>compute_atlas</x:v>
      </x:c>
      <x:c r="B53" s="23" t="str">
        <x:v>google-montgomery-county-tn</x:v>
      </x:c>
      <x:c r="C53" s="23" t="str">
        <x:v>Google Montgomery County Data Center</x:v>
      </x:c>
      <x:c r="D53" s="17" t="str"/>
      <x:c r="E53" s="23" t="str">
        <x:v>Google</x:v>
      </x:c>
      <x:c r="F53" s="17" t="str"/>
      <x:c r="G53" s="23" t="str"/>
      <x:c r="H53" s="17" t="str"/>
      <x:c r="I53" s="17" t="str">
        <x:v>Clarksville</x:v>
      </x:c>
      <x:c r="J53" s="26" t="str">
        <x:v>Montgomery</x:v>
      </x:c>
      <x:c r="K53" s="17" t="str">
        <x:v>TN</x:v>
      </x:c>
      <x:c r="L53" s="17" t="str"/>
      <x:c r="M53" s="29" t="str">
        <x:v>36.5288</x:v>
      </x:c>
      <x:c r="N53" s="29" t="str">
        <x:v>-87.3636</x:v>
      </x:c>
      <x:c r="O53" s="17" t="str">
        <x:v>exact</x:v>
      </x:c>
      <x:c r="P53" s="17" t="str">
        <x:v>confirmed</x:v>
      </x:c>
      <x:c r="Q53" s="17" t="str"/>
      <x:c r="R53" s="17" t="str">
        <x:v>operational</x:v>
      </x:c>
      <x:c r="S53" s="17" t="str">
        <x:v>operational</x:v>
      </x:c>
      <x:c r="T53" s="17" t="str">
        <x:v>data_center</x:v>
      </x:c>
      <x:c r="U53" s="17" t="str"/>
      <x:c r="V53" s="26" t="str"/>
      <x:c r="W53" s="26" t="str"/>
      <x:c r="X53" s="26" t="str"/>
      <x:c r="Y53" s="26" t="str"/>
      <x:c r="Z53" s="17" t="str"/>
      <x:c r="AA53" s="17" t="str"/>
      <x:c r="AB53" s="17" t="str"/>
      <x:c r="AC53" s="35" t="str">
        <x:v>600000000</x:v>
      </x:c>
      <x:c r="AD53" s="17" t="str"/>
      <x:c r="AE53" s="17" t="str"/>
      <x:c r="AF53" s="17" t="str"/>
      <x:c r="AG53" s="17" t="str"/>
      <x:c r="AH53" s="17" t="str"/>
      <x:c r="AI53" s="17" t="str">
        <x:v>2026-07-06</x:v>
      </x:c>
      <x:c r="AJ53" s="17" t="str">
        <x:v>https://clarksvillenow.com/local/google-officially-opens-clarksville-montgomery-county-data-center/ | https://datacenters.google/locations/montgomery-county-tennessee/ | https://tnecd.com/news/governor-haslam-commissioner-boyd-announce-google-to-locate-new-data-center-in-clarksville/</x:v>
      </x:c>
      <x:c r="AK53" s="17" t="str">
        <x:v>https://www.compute-atlas.com/api/facilities?state=TN</x:v>
      </x:c>
      <x:c r="AL53" s="23" t="str">
        <x:v>https://www.compute-atlas.com/api/facilities?state=TN</x:v>
      </x:c>
      <x:c r="AM53" s="23" t="str">
        <x:v>[{"date": "2015", "note": "Governor Haslam and TNECD announce Google to locate new data center in Clarksville, December 22, 2015", "status": "proposed", "sourceIndex": 0}, {"date": "2018", "note": "Google CEO Sundar Pichai breaks ground on former Hemlock Semiconductor site on Boolean Dr, February 2018", "status": "under_construction"}, {"date": "2019", "note": "Google officially opens $600M Montgomery County data center; ribbon-cutting ceremony November 6, 2019", "status": "operational", "sourceIndex": 1}]</x:v>
      </x:c>
      <x:c r="AN53" s="17" t="str">
        <x:v>core_data_center</x:v>
      </x:c>
      <x:c r="AO53" s="77" t="b">
        <x:v>1</x:v>
      </x:c>
      <x:c r="AP53" s="23" t="str">
        <x:v>google</x:v>
      </x:c>
      <x:c r="AQ53" s="17" t="str">
        <x:v>google montgomery county data center</x:v>
      </x:c>
      <x:c r="AR53" s="18" t="str"/>
    </x:row>
    <x:row r="54" ht="28" hidden="0" customHeight="1">
      <x:c r="A54" s="16" t="str">
        <x:v>compute_atlas</x:v>
      </x:c>
      <x:c r="B54" s="23" t="str">
        <x:v>hixson-bloom-fuel-cells-mcminnville-tn</x:v>
      </x:c>
      <x:c r="C54" s="23" t="str">
        <x:v>Hixson Data Center On-Site Fuel Cell Plant (McMinnville)</x:v>
      </x:c>
      <x:c r="D54" s="17" t="str"/>
      <x:c r="E54" s="23" t="str">
        <x:v>Hixson Data Center</x:v>
      </x:c>
      <x:c r="F54" s="17" t="str"/>
      <x:c r="G54" s="23" t="str"/>
      <x:c r="H54" s="17" t="str"/>
      <x:c r="I54" s="17" t="str">
        <x:v>McMinnville</x:v>
      </x:c>
      <x:c r="J54" s="26" t="str">
        <x:v>Warren</x:v>
      </x:c>
      <x:c r="K54" s="17" t="str">
        <x:v>TN</x:v>
      </x:c>
      <x:c r="L54" s="17" t="str"/>
      <x:c r="M54" s="29" t="str">
        <x:v>35.6834</x:v>
      </x:c>
      <x:c r="N54" s="29" t="str">
        <x:v>-85.76998</x:v>
      </x:c>
      <x:c r="O54" s="17" t="str">
        <x:v>approximate</x:v>
      </x:c>
      <x:c r="P54" s="17" t="str">
        <x:v>confirmed</x:v>
      </x:c>
      <x:c r="Q54" s="17" t="str"/>
      <x:c r="R54" s="17" t="str">
        <x:v>proposed</x:v>
      </x:c>
      <x:c r="S54" s="17" t="str">
        <x:v>proposed</x:v>
      </x:c>
      <x:c r="T54" s="17" t="str">
        <x:v>power_generation</x:v>
      </x:c>
      <x:c r="U54" s="17" t="str"/>
      <x:c r="V54" s="26" t="str"/>
      <x:c r="W54" s="26" t="str"/>
      <x:c r="X54" s="26" t="str"/>
      <x:c r="Y54" s="26" t="str"/>
      <x:c r="Z54" s="17" t="str"/>
      <x:c r="AA54" s="17" t="str"/>
      <x:c r="AB54" s="17" t="str"/>
      <x:c r="AC54" s="35" t="str"/>
      <x:c r="AD54" s="17" t="str"/>
      <x:c r="AE54" s="17" t="str"/>
      <x:c r="AF54" s="17" t="str"/>
      <x:c r="AG54" s="17" t="str"/>
      <x:c r="AH54" s="17" t="str"/>
      <x:c r="AI54" s="17" t="str">
        <x:v>2026-08-19</x:v>
      </x:c>
      <x:c r="AJ54" s="17" t="str">
        <x:v>https://baxtel.com/news/25mw-ai-data-center-planned-for-mcminnville | https://www.wsmv.com/2026/06/01/amid-plans-new-high-density-ai-data-center-campus-middle-tennessee-city-locals-push-moratorium-such-facilities/ | https://www.wsmv.com/2026/06/03/mcminnville-approves-18-month-moratorium-new-data-centers-creating-requirements-numerous-impact-studies/</x:v>
      </x:c>
      <x:c r="AK54" s="17" t="str">
        <x:v>https://www.compute-atlas.com/api/facilities?state=TN</x:v>
      </x:c>
      <x:c r="AL54" s="23" t="str">
        <x:v>https://www.compute-atlas.com/api/facilities?state=TN</x:v>
      </x:c>
      <x:c r="AM54" s="23" t="str">
        <x:v>[]</x:v>
      </x:c>
      <x:c r="AN54" s="17" t="str">
        <x:v>support_infrastructure</x:v>
      </x:c>
      <x:c r="AO54" s="77" t="b">
        <x:v>0</x:v>
      </x:c>
      <x:c r="AP54" s="23" t="str">
        <x:v>hixson data center</x:v>
      </x:c>
      <x:c r="AQ54" s="17" t="str">
        <x:v>hixson data center on site fuel cell plant mcminnville</x:v>
      </x:c>
      <x:c r="AR54" s="18" t="str"/>
    </x:row>
    <x:row r="55" ht="28" hidden="0" customHeight="1">
      <x:c r="A55" s="16" t="str">
        <x:v>compute_atlas</x:v>
      </x:c>
      <x:c r="B55" s="23" t="str">
        <x:v>hixson-data-center-mcminnville-tn</x:v>
      </x:c>
      <x:c r="C55" s="23" t="str">
        <x:v>Hixson Data Center (McMinnville)</x:v>
      </x:c>
      <x:c r="D55" s="17" t="str"/>
      <x:c r="E55" s="23" t="str">
        <x:v>Hixson Data Center</x:v>
      </x:c>
      <x:c r="F55" s="17" t="str"/>
      <x:c r="G55" s="23" t="str"/>
      <x:c r="H55" s="17" t="str"/>
      <x:c r="I55" s="17" t="str">
        <x:v>McMinnville</x:v>
      </x:c>
      <x:c r="J55" s="26" t="str">
        <x:v>Warren</x:v>
      </x:c>
      <x:c r="K55" s="17" t="str">
        <x:v>TN</x:v>
      </x:c>
      <x:c r="L55" s="17" t="str"/>
      <x:c r="M55" s="29" t="str">
        <x:v>35.6834</x:v>
      </x:c>
      <x:c r="N55" s="29" t="str">
        <x:v>-85.76998</x:v>
      </x:c>
      <x:c r="O55" s="17" t="str">
        <x:v>approximate</x:v>
      </x:c>
      <x:c r="P55" s="17" t="str">
        <x:v>confirmed</x:v>
      </x:c>
      <x:c r="Q55" s="17" t="str"/>
      <x:c r="R55" s="17" t="str">
        <x:v>proposed</x:v>
      </x:c>
      <x:c r="S55" s="17" t="str">
        <x:v>proposed</x:v>
      </x:c>
      <x:c r="T55" s="17" t="str">
        <x:v>data_center</x:v>
      </x:c>
      <x:c r="U55" s="17" t="str"/>
      <x:c r="V55" s="26" t="str"/>
      <x:c r="W55" s="26" t="str"/>
      <x:c r="X55" s="26" t="str"/>
      <x:c r="Y55" s="26" t="str"/>
      <x:c r="Z55" s="17" t="str"/>
      <x:c r="AA55" s="17" t="str"/>
      <x:c r="AB55" s="17" t="str"/>
      <x:c r="AC55" s="35" t="str"/>
      <x:c r="AD55" s="17" t="str"/>
      <x:c r="AE55" s="17" t="str"/>
      <x:c r="AF55" s="17" t="str"/>
      <x:c r="AG55" s="17" t="str"/>
      <x:c r="AH55" s="17" t="str"/>
      <x:c r="AI55" s="17" t="str">
        <x:v>2026-08-15</x:v>
      </x:c>
      <x:c r="AJ55" s="17" t="str">
        <x:v>https://baxtel.com/news/25mw-ai-data-center-planned-for-mcminnville | https://www.wsmv.com/2026/06/01/amid-plans-new-high-density-ai-data-center-campus-middle-tennessee-city-locals-push-moratorium-such-facilities/</x:v>
      </x:c>
      <x:c r="AK55" s="17" t="str">
        <x:v>https://www.compute-atlas.com/api/facilities?state=TN</x:v>
      </x:c>
      <x:c r="AL55" s="23" t="str">
        <x:v>https://www.compute-atlas.com/api/facilities?state=TN</x:v>
      </x:c>
      <x:c r="AM55" s="23" t="str">
        <x:v>[]</x:v>
      </x:c>
      <x:c r="AN55" s="17" t="str">
        <x:v>core_data_center</x:v>
      </x:c>
      <x:c r="AO55" s="77" t="b">
        <x:v>1</x:v>
      </x:c>
      <x:c r="AP55" s="23" t="str">
        <x:v>hixson data center</x:v>
      </x:c>
      <x:c r="AQ55" s="17" t="str">
        <x:v>hixson data center mcminnville</x:v>
      </x:c>
      <x:c r="AR55" s="18" t="str"/>
    </x:row>
    <x:row r="56" ht="28" hidden="0" customHeight="1">
      <x:c r="A56" s="16" t="str">
        <x:v>compute_atlas</x:v>
      </x:c>
      <x:c r="B56" s="23" t="str">
        <x:v>jailhouse-studios-chattanooga-tn</x:v>
      </x:c>
      <x:c r="C56" s="23" t="str">
        <x:v>Jailhouse Studios (former Hamilton County Jail)</x:v>
      </x:c>
      <x:c r="D56" s="17" t="str"/>
      <x:c r="E56" s="23" t="str">
        <x:v>Urban Story Ventures</x:v>
      </x:c>
      <x:c r="F56" s="17" t="str"/>
      <x:c r="G56" s="23" t="str"/>
      <x:c r="H56" s="17" t="str"/>
      <x:c r="I56" s="17" t="str">
        <x:v>Chattanooga</x:v>
      </x:c>
      <x:c r="J56" s="26" t="str">
        <x:v>Hamilton</x:v>
      </x:c>
      <x:c r="K56" s="17" t="str">
        <x:v>TN</x:v>
      </x:c>
      <x:c r="L56" s="17" t="str"/>
      <x:c r="M56" s="29" t="str">
        <x:v>35.04572</x:v>
      </x:c>
      <x:c r="N56" s="29" t="str">
        <x:v>-85.30949</x:v>
      </x:c>
      <x:c r="O56" s="17" t="str">
        <x:v>approximate</x:v>
      </x:c>
      <x:c r="P56" s="17" t="str">
        <x:v>confirmed</x:v>
      </x:c>
      <x:c r="Q56" s="17" t="str"/>
      <x:c r="R56" s="17" t="str">
        <x:v>proposed</x:v>
      </x:c>
      <x:c r="S56" s="17" t="str">
        <x:v>proposed</x:v>
      </x:c>
      <x:c r="T56" s="17" t="str">
        <x:v>data_center</x:v>
      </x:c>
      <x:c r="U56" s="17" t="str"/>
      <x:c r="V56" s="26" t="str"/>
      <x:c r="W56" s="26" t="str"/>
      <x:c r="X56" s="26" t="str"/>
      <x:c r="Y56" s="26" t="str"/>
      <x:c r="Z56" s="17" t="str"/>
      <x:c r="AA56" s="17" t="str"/>
      <x:c r="AB56" s="17" t="str"/>
      <x:c r="AC56" s="35" t="str"/>
      <x:c r="AD56" s="17" t="str"/>
      <x:c r="AE56" s="17" t="str"/>
      <x:c r="AF56" s="17" t="str"/>
      <x:c r="AG56" s="17" t="str"/>
      <x:c r="AH56" s="17" t="str"/>
      <x:c r="AI56" s="17" t="str">
        <x:v>2026-08-15</x:v>
      </x:c>
      <x:c r="AJ56" s="17" t="str">
        <x:v>https://newschannel9.com/news/local/residents-rally-against-proposed-ai-data-center-inside-old-hamilton-county-jail | https://urbanstoryventures.com/citys-new-jailhouse-studios-the-worlds-first-quantum-ready-sovereign-data-processing-and-ai-center-with-an-integrated-creator-campus/</x:v>
      </x:c>
      <x:c r="AK56" s="17" t="str">
        <x:v>https://www.compute-atlas.com/api/facilities?state=TN</x:v>
      </x:c>
      <x:c r="AL56" s="23" t="str">
        <x:v>https://www.compute-atlas.com/api/facilities?state=TN</x:v>
      </x:c>
      <x:c r="AM56" s="23" t="str">
        <x:v>[]</x:v>
      </x:c>
      <x:c r="AN56" s="17" t="str">
        <x:v>core_data_center</x:v>
      </x:c>
      <x:c r="AO56" s="77" t="b">
        <x:v>1</x:v>
      </x:c>
      <x:c r="AP56" s="23" t="str">
        <x:v>urban story ventures</x:v>
      </x:c>
      <x:c r="AQ56" s="17" t="str">
        <x:v>jailhouse studios former hamilton county jail</x:v>
      </x:c>
      <x:c r="AR56" s="18" t="str"/>
    </x:row>
    <x:row r="57" ht="28" hidden="0" customHeight="1">
      <x:c r="A57" s="16" t="str">
        <x:v>compute_atlas</x:v>
      </x:c>
      <x:c r="B57" s="23" t="str">
        <x:v>kairos-hermes-2-oak-ridge-tn</x:v>
      </x:c>
      <x:c r="C57" s="23" t="str">
        <x:v>Kairos Power Hermes 2</x:v>
      </x:c>
      <x:c r="D57" s="17" t="str"/>
      <x:c r="E57" s="23" t="str">
        <x:v>Kairos Power</x:v>
      </x:c>
      <x:c r="F57" s="17" t="str"/>
      <x:c r="G57" s="23" t="str"/>
      <x:c r="H57" s="17" t="str"/>
      <x:c r="I57" s="17" t="str">
        <x:v>Oak Ridge</x:v>
      </x:c>
      <x:c r="J57" s="26" t="str">
        <x:v>Roane</x:v>
      </x:c>
      <x:c r="K57" s="17" t="str">
        <x:v>TN</x:v>
      </x:c>
      <x:c r="L57" s="17" t="str"/>
      <x:c r="M57" s="29" t="str">
        <x:v>35.92</x:v>
      </x:c>
      <x:c r="N57" s="29" t="str">
        <x:v>-84.39</x:v>
      </x:c>
      <x:c r="O57" s="17" t="str">
        <x:v>approximate</x:v>
      </x:c>
      <x:c r="P57" s="17" t="str">
        <x:v>confirmed</x:v>
      </x:c>
      <x:c r="Q57" s="17" t="str"/>
      <x:c r="R57" s="17" t="str">
        <x:v>under_construction</x:v>
      </x:c>
      <x:c r="S57" s="17" t="str">
        <x:v>under_construction</x:v>
      </x:c>
      <x:c r="T57" s="17" t="str">
        <x:v>power_generation</x:v>
      </x:c>
      <x:c r="U57" s="17" t="str"/>
      <x:c r="V57" s="26" t="str"/>
      <x:c r="W57" s="26" t="str"/>
      <x:c r="X57" s="26" t="str"/>
      <x:c r="Y57" s="26" t="str"/>
      <x:c r="Z57" s="17" t="str"/>
      <x:c r="AA57" s="17" t="str"/>
      <x:c r="AB57" s="17" t="str"/>
      <x:c r="AC57" s="35" t="str"/>
      <x:c r="AD57" s="17" t="str"/>
      <x:c r="AE57" s="17" t="str"/>
      <x:c r="AF57" s="17" t="str"/>
      <x:c r="AG57" s="17" t="str"/>
      <x:c r="AH57" s="17" t="str"/>
      <x:c r="AI57" s="17" t="str">
        <x:v>2026-07-11</x:v>
      </x:c>
      <x:c r="AJ57" s="17" t="str">
        <x:v>https://blog.google/company-news/outreach-and-initiatives/sustainability/google-kairos-power-nuclear-energy-agreement/ | https://www.ans.org/news/2026-04-21/article-7964/kairos-power-breaks-ground-on-first-powerproducing-reactor-in-oak-ridge/ | https://www.federalregister.gov/documents/2023/11/22/2023-25818/kairos-power-llc-hermes-2 | https://www.federalregister.gov/documents/2024/04/26/2024-08964/kairos-power-llc-hermes-2-draft-environmental-assessment-and-draft-finding-of-no-significant-impact | https://www.federalregister.gov/documents/2024/09/05/2024-19914/kairos-power-llc-hermes-2-environmental-assessment-finding-of-no-significant-impact-and-exemptions | https://www.federalregister.gov/documents/2024/11/29/2024-28025/kairos-power-llc-hermes-2-test-reactor-facility-construction-permits | https://www.kairospower.com/updates/google-and-kairos-power-partner-to-deploy-500-mw-of-clean-electricity-generation | https://www.kairospower.com/updates/kairos-power-breaks-ground-on-hermes-2-demonstration-plant | https://www.nrc.gov/reactors/non-power/new-facility-licensing/hermes2-kairos | https://www.world-nuclear-news.org/articles/google-kairos-power-tva-announce-collaboration</x:v>
      </x:c>
      <x:c r="AK57" s="17" t="str">
        <x:v>https://www.compute-atlas.com/api/facilities?state=TN</x:v>
      </x:c>
      <x:c r="AL57" s="23" t="str">
        <x:v>https://www.compute-atlas.com/api/facilities?state=TN</x:v>
      </x:c>
      <x:c r="AM57" s="23" t="str">
        <x:v>[{"date": "2024-11-21", "note": "NRC issues Hermes 2 construction permit (first Gen IV power-reactor construction permit; Docket Nos. 50-611 and 50-612)", "status": "permitted", "sourceIndex": 1}, {"date": "2026-04-17", "note": "Kairos Power breaks ground on Hermes 2 at the Heritage Center/K-33 site", "status": "under_construction", "sourceIndex": 5}]</x:v>
      </x:c>
      <x:c r="AN57" s="17" t="str">
        <x:v>support_infrastructure</x:v>
      </x:c>
      <x:c r="AO57" s="77" t="b">
        <x:v>0</x:v>
      </x:c>
      <x:c r="AP57" s="23" t="str">
        <x:v>kairos power</x:v>
      </x:c>
      <x:c r="AQ57" s="17" t="str">
        <x:v>kairos power hermes 2</x:v>
      </x:c>
      <x:c r="AR57" s="18" t="str"/>
    </x:row>
    <x:row r="58" ht="28" hidden="0" customHeight="1">
      <x:c r="A58" s="16" t="str">
        <x:v>compute_atlas</x:v>
      </x:c>
      <x:c r="B58" s="23" t="str">
        <x:v>litewire-mcminnville-tn</x:v>
      </x:c>
      <x:c r="C58" s="23" t="str">
        <x:v>Litewire McMinnville (former A.O. Smith Building)</x:v>
      </x:c>
      <x:c r="D58" s="17" t="str"/>
      <x:c r="E58" s="23" t="str">
        <x:v>Litewire</x:v>
      </x:c>
      <x:c r="F58" s="17" t="str"/>
      <x:c r="G58" s="23" t="str"/>
      <x:c r="H58" s="17" t="str"/>
      <x:c r="I58" s="17" t="str">
        <x:v>McMinnville</x:v>
      </x:c>
      <x:c r="J58" s="26" t="str">
        <x:v>Warren</x:v>
      </x:c>
      <x:c r="K58" s="17" t="str">
        <x:v>TN</x:v>
      </x:c>
      <x:c r="L58" s="17" t="str"/>
      <x:c r="M58" s="29" t="str">
        <x:v>35.69221</x:v>
      </x:c>
      <x:c r="N58" s="29" t="str">
        <x:v>-85.7619</x:v>
      </x:c>
      <x:c r="O58" s="17" t="str">
        <x:v>exact</x:v>
      </x:c>
      <x:c r="P58" s="17" t="str">
        <x:v>confirmed</x:v>
      </x:c>
      <x:c r="Q58" s="17" t="str"/>
      <x:c r="R58" s="17" t="str">
        <x:v>operational</x:v>
      </x:c>
      <x:c r="S58" s="17" t="str">
        <x:v>operational</x:v>
      </x:c>
      <x:c r="T58" s="17" t="str">
        <x:v>data_center</x:v>
      </x:c>
      <x:c r="U58" s="17" t="str"/>
      <x:c r="V58" s="26" t="str"/>
      <x:c r="W58" s="26" t="str"/>
      <x:c r="X58" s="26" t="str"/>
      <x:c r="Y58" s="26" t="str"/>
      <x:c r="Z58" s="17" t="str"/>
      <x:c r="AA58" s="17" t="str"/>
      <x:c r="AB58" s="17" t="str"/>
      <x:c r="AC58" s="35" t="str"/>
      <x:c r="AD58" s="17" t="str"/>
      <x:c r="AE58" s="17" t="str"/>
      <x:c r="AF58" s="17" t="str"/>
      <x:c r="AG58" s="17" t="str"/>
      <x:c r="AH58" s="17" t="str"/>
      <x:c r="AI58" s="17" t="str">
        <x:v>2026-08-15</x:v>
      </x:c>
      <x:c r="AJ58" s="17" t="str">
        <x:v>https://tnecd.com/news/litewire-llc-to-open-new-facility-in-warren-county/ | https://www.newschannel5.com/news/how-big-are-middle-tennessees-data-centers-a-look-at-facilities-already-operating</x:v>
      </x:c>
      <x:c r="AK58" s="17" t="str">
        <x:v>https://www.compute-atlas.com/api/facilities?state=TN</x:v>
      </x:c>
      <x:c r="AL58" s="23" t="str">
        <x:v>https://www.compute-atlas.com/api/facilities?state=TN</x:v>
      </x:c>
      <x:c r="AM58" s="23" t="str">
        <x:v>[]</x:v>
      </x:c>
      <x:c r="AN58" s="17" t="str">
        <x:v>core_data_center</x:v>
      </x:c>
      <x:c r="AO58" s="77" t="b">
        <x:v>1</x:v>
      </x:c>
      <x:c r="AP58" s="23" t="str">
        <x:v>litewire</x:v>
      </x:c>
      <x:c r="AQ58" s="17" t="str">
        <x:v>litewire mcminnville former a o smith building</x:v>
      </x:c>
      <x:c r="AR58" s="18" t="str"/>
    </x:row>
    <x:row r="59" ht="28" hidden="0" customHeight="1">
      <x:c r="A59" s="16" t="str">
        <x:v>compute_atlas</x:v>
      </x:c>
      <x:c r="B59" s="23" t="str">
        <x:v>meta-gallatin-tn</x:v>
      </x:c>
      <x:c r="C59" s="23" t="str">
        <x:v>Meta Gallatin Data Center Campus</x:v>
      </x:c>
      <x:c r="D59" s="17" t="str"/>
      <x:c r="E59" s="23" t="str">
        <x:v>Meta</x:v>
      </x:c>
      <x:c r="F59" s="17" t="str"/>
      <x:c r="G59" s="23" t="str"/>
      <x:c r="H59" s="17" t="str"/>
      <x:c r="I59" s="17" t="str">
        <x:v>Gallatin</x:v>
      </x:c>
      <x:c r="J59" s="26" t="str">
        <x:v>Sumner</x:v>
      </x:c>
      <x:c r="K59" s="17" t="str">
        <x:v>TN</x:v>
      </x:c>
      <x:c r="L59" s="17" t="str"/>
      <x:c r="M59" s="29" t="str">
        <x:v>36.3884</x:v>
      </x:c>
      <x:c r="N59" s="29" t="str">
        <x:v>-86.4369</x:v>
      </x:c>
      <x:c r="O59" s="17" t="str">
        <x:v>exact</x:v>
      </x:c>
      <x:c r="P59" s="17" t="str">
        <x:v>confirmed</x:v>
      </x:c>
      <x:c r="Q59" s="17" t="str"/>
      <x:c r="R59" s="17" t="str">
        <x:v>operational</x:v>
      </x:c>
      <x:c r="S59" s="17" t="str">
        <x:v>operational</x:v>
      </x:c>
      <x:c r="T59" s="17" t="str">
        <x:v>data_center</x:v>
      </x:c>
      <x:c r="U59" s="17" t="str"/>
      <x:c r="V59" s="26" t="str"/>
      <x:c r="W59" s="26" t="str"/>
      <x:c r="X59" s="26" t="str"/>
      <x:c r="Y59" s="26" t="str"/>
      <x:c r="Z59" s="17" t="str">
        <x:v>900</x:v>
      </x:c>
      <x:c r="AA59" s="17" t="str"/>
      <x:c r="AB59" s="17" t="str"/>
      <x:c r="AC59" s="35" t="str">
        <x:v>1500000000</x:v>
      </x:c>
      <x:c r="AD59" s="17" t="str"/>
      <x:c r="AE59" s="17" t="str"/>
      <x:c r="AF59" s="17" t="str"/>
      <x:c r="AG59" s="17" t="str"/>
      <x:c r="AH59" s="17" t="str"/>
      <x:c r="AI59" s="17" t="str">
        <x:v>2026-07-25</x:v>
      </x:c>
      <x:c r="AJ59" s="17" t="str">
        <x:v>https://datacenters.atmeta.com/2024/11/gallatin-we-are-online/ | https://ttc.tml1.org/2024/11/15/meta-data-center-begins-operations-gallatin | https://w.media/meta-expands-gallatin-data-center-with-nearly-1b-total-investment/ | https://www.datacenterdynamics.com/en/news/meta-brings-data-centers-in-tents-to-gallatin-tennessee/ | https://www.pascalforgallatin.com/post/why-is-gallatin-giving-woolhawk-a-tax-break-when-they-are-considering-raising-our-property-taxes | https://www.weku.org/amsn/2025-11-25/tennessee-has-60-data-centers-nashville-probably-has-more-than-you-think</x:v>
      </x:c>
      <x:c r="AK59" s="17" t="str">
        <x:v>https://www.compute-atlas.com/api/facilities?state=TN</x:v>
      </x:c>
      <x:c r="AL59" s="23" t="str">
        <x:v>https://www.compute-atlas.com/api/facilities?state=TN</x:v>
      </x:c>
      <x:c r="AM59" s="23" t="str">
        <x:v>[{"date": "2022", "note": "Meta announces Gallatin campus expansion", "status": "proposed"}, {"date": "2024-11", "note": "Campus officially launched November 2024 with six facilities on 900 acres", "status": "operational"}, {"date": "2025-09", "note": "Gallatin Municipal Planning Commission grants permission for 135,000 sq ft tent-based GPU cluster facility; Meta building multi-billion-dollar GPU clusters in rapid deployment structures to accelerate AI capacity", "status": "operational", "sourceIndex": 0}]</x:v>
      </x:c>
      <x:c r="AN59" s="17" t="str">
        <x:v>core_data_center</x:v>
      </x:c>
      <x:c r="AO59" s="77" t="b">
        <x:v>1</x:v>
      </x:c>
      <x:c r="AP59" s="23" t="str">
        <x:v>meta</x:v>
      </x:c>
      <x:c r="AQ59" s="17" t="str">
        <x:v>meta gallatin data center campus</x:v>
      </x:c>
      <x:c r="AR59" s="18" t="str"/>
    </x:row>
    <x:row r="60" ht="28" hidden="0" customHeight="1">
      <x:c r="A60" s="16" t="str">
        <x:v>compute_atlas</x:v>
      </x:c>
      <x:c r="B60" s="23" t="str">
        <x:v>radiusdc-nashville-i-tn</x:v>
      </x:c>
      <x:c r="C60" s="23" t="str">
        <x:v>RadiusDC Nashville I</x:v>
      </x:c>
      <x:c r="D60" s="17" t="str"/>
      <x:c r="E60" s="23" t="str">
        <x:v>RadiusDC</x:v>
      </x:c>
      <x:c r="F60" s="17" t="str"/>
      <x:c r="G60" s="23" t="str"/>
      <x:c r="H60" s="17" t="str"/>
      <x:c r="I60" s="17" t="str">
        <x:v>Nashville</x:v>
      </x:c>
      <x:c r="J60" s="26" t="str">
        <x:v>Davidson</x:v>
      </x:c>
      <x:c r="K60" s="17" t="str">
        <x:v>TN</x:v>
      </x:c>
      <x:c r="L60" s="17" t="str"/>
      <x:c r="M60" s="29" t="str">
        <x:v>36.27987</x:v>
      </x:c>
      <x:c r="N60" s="29" t="str">
        <x:v>-86.7837</x:v>
      </x:c>
      <x:c r="O60" s="17" t="str">
        <x:v>approximate</x:v>
      </x:c>
      <x:c r="P60" s="17" t="str">
        <x:v>confirmed</x:v>
      </x:c>
      <x:c r="Q60" s="17" t="str"/>
      <x:c r="R60" s="17" t="str">
        <x:v>under_construction</x:v>
      </x:c>
      <x:c r="S60" s="17" t="str">
        <x:v>under_construction</x:v>
      </x:c>
      <x:c r="T60" s="17" t="str">
        <x:v>data_center</x:v>
      </x:c>
      <x:c r="U60" s="17" t="str"/>
      <x:c r="V60" s="26" t="str"/>
      <x:c r="W60" s="26" t="str"/>
      <x:c r="X60" s="26" t="str"/>
      <x:c r="Y60" s="26" t="str"/>
      <x:c r="Z60" s="17" t="str">
        <x:v>12</x:v>
      </x:c>
      <x:c r="AA60" s="17" t="str"/>
      <x:c r="AB60" s="17" t="str"/>
      <x:c r="AC60" s="35" t="str"/>
      <x:c r="AD60" s="17" t="str"/>
      <x:c r="AE60" s="17" t="str"/>
      <x:c r="AF60" s="17" t="str"/>
      <x:c r="AG60" s="17" t="str"/>
      <x:c r="AH60" s="17" t="str"/>
      <x:c r="AI60" s="17" t="str">
        <x:v>2026-08-15</x:v>
      </x:c>
      <x:c r="AJ60" s="17" t="str">
        <x:v>https://www.radius-dc.com/newsroom-and-events/radiusdc-breaks-ground-on-largest-data-center-in-nashville | https://www.yahoo.com/news/us/articles/guide-data-centers-tennessee-could-081728521.html</x:v>
      </x:c>
      <x:c r="AK60" s="17" t="str">
        <x:v>https://www.compute-atlas.com/api/facilities?state=TN</x:v>
      </x:c>
      <x:c r="AL60" s="23" t="str">
        <x:v>https://www.compute-atlas.com/api/facilities?state=TN</x:v>
      </x:c>
      <x:c r="AM60" s="23" t="str">
        <x:v>[]</x:v>
      </x:c>
      <x:c r="AN60" s="17" t="str">
        <x:v>core_data_center</x:v>
      </x:c>
      <x:c r="AO60" s="77" t="b">
        <x:v>1</x:v>
      </x:c>
      <x:c r="AP60" s="23" t="str">
        <x:v>radiusdc</x:v>
      </x:c>
      <x:c r="AQ60" s="17" t="str">
        <x:v>radiusdc nashville i</x:v>
      </x:c>
      <x:c r="AR60" s="18" t="str"/>
    </x:row>
    <x:row r="61" ht="28" hidden="0" customHeight="1">
      <x:c r="A61" s="16" t="str">
        <x:v>compute_atlas</x:v>
      </x:c>
      <x:c r="B61" s="23" t="str">
        <x:v>tierpoint-nashville-tn</x:v>
      </x:c>
      <x:c r="C61" s="23" t="str">
        <x:v>TierPoint Nashville</x:v>
      </x:c>
      <x:c r="D61" s="17" t="str"/>
      <x:c r="E61" s="23" t="str">
        <x:v>TierPoint</x:v>
      </x:c>
      <x:c r="F61" s="17" t="str"/>
      <x:c r="G61" s="23" t="str"/>
      <x:c r="H61" s="17" t="str"/>
      <x:c r="I61" s="17" t="str">
        <x:v>Franklin</x:v>
      </x:c>
      <x:c r="J61" s="26" t="str">
        <x:v>Williamson</x:v>
      </x:c>
      <x:c r="K61" s="17" t="str">
        <x:v>TN</x:v>
      </x:c>
      <x:c r="L61" s="17" t="str"/>
      <x:c r="M61" s="29" t="str">
        <x:v>35.9245097</x:v>
      </x:c>
      <x:c r="N61" s="29" t="str">
        <x:v>-86.8556872</x:v>
      </x:c>
      <x:c r="O61" s="17" t="str">
        <x:v>exact</x:v>
      </x:c>
      <x:c r="P61" s="17" t="str">
        <x:v>reported</x:v>
      </x:c>
      <x:c r="Q61" s="17" t="str"/>
      <x:c r="R61" s="17" t="str">
        <x:v>operational</x:v>
      </x:c>
      <x:c r="S61" s="17" t="str">
        <x:v>operational</x:v>
      </x:c>
      <x:c r="T61" s="17" t="str">
        <x:v>data_center</x:v>
      </x:c>
      <x:c r="U61" s="17" t="str"/>
      <x:c r="V61" s="26" t="str"/>
      <x:c r="W61" s="26" t="str"/>
      <x:c r="X61" s="26" t="str"/>
      <x:c r="Y61" s="26" t="str"/>
      <x:c r="Z61" s="17" t="str"/>
      <x:c r="AA61" s="17" t="str"/>
      <x:c r="AB61" s="17" t="str"/>
      <x:c r="AC61" s="35" t="str"/>
      <x:c r="AD61" s="17" t="str"/>
      <x:c r="AE61" s="17" t="str"/>
      <x:c r="AF61" s="17" t="str"/>
      <x:c r="AG61" s="17" t="str"/>
      <x:c r="AH61" s="17" t="str"/>
      <x:c r="AI61" s="17" t="str">
        <x:v>2026-07-23</x:v>
      </x:c>
      <x:c r="AJ61" s="17" t="str">
        <x:v>https://www.arcgis.com/home/item.html?id=597555ce8e4a4892a030784a7c657fdd | https://www.openstreetmap.org/way/819981908 | https://www.tierpoint.com/data-centers/tennessee/nashville/</x:v>
      </x:c>
      <x:c r="AK61" s="17" t="str">
        <x:v>https://www.compute-atlas.com/api/facilities?state=TN</x:v>
      </x:c>
      <x:c r="AL61" s="23" t="str">
        <x:v>https://www.compute-atlas.com/api/facilities?state=TN</x:v>
      </x:c>
      <x:c r="AM61" s="23" t="str">
        <x:v>[]</x:v>
      </x:c>
      <x:c r="AN61" s="17" t="str">
        <x:v>core_data_center</x:v>
      </x:c>
      <x:c r="AO61" s="77" t="b">
        <x:v>1</x:v>
      </x:c>
      <x:c r="AP61" s="23" t="str">
        <x:v>tierpoint</x:v>
      </x:c>
      <x:c r="AQ61" s="17" t="str">
        <x:v>tierpoint nashville</x:v>
      </x:c>
      <x:c r="AR61" s="18" t="str"/>
    </x:row>
    <x:row r="62" ht="28" hidden="0" customHeight="1">
      <x:c r="A62" s="19" t="str">
        <x:v>compute_atlas</x:v>
      </x:c>
      <x:c r="B62" s="24" t="str">
        <x:v>xai-colossus-memphis-tn</x:v>
      </x:c>
      <x:c r="C62" s="24" t="str">
        <x:v>Colossus</x:v>
      </x:c>
      <x:c r="D62" s="20" t="str"/>
      <x:c r="E62" s="24" t="str">
        <x:v>xAI</x:v>
      </x:c>
      <x:c r="F62" s="20" t="str"/>
      <x:c r="G62" s="24" t="str"/>
      <x:c r="H62" s="20" t="str"/>
      <x:c r="I62" s="20" t="str">
        <x:v>Memphis</x:v>
      </x:c>
      <x:c r="J62" s="27" t="str">
        <x:v>Shelby</x:v>
      </x:c>
      <x:c r="K62" s="20" t="str">
        <x:v>TN</x:v>
      </x:c>
      <x:c r="L62" s="20" t="str"/>
      <x:c r="M62" s="30" t="str">
        <x:v>35.0565</x:v>
      </x:c>
      <x:c r="N62" s="30" t="str">
        <x:v>-90.0148</x:v>
      </x:c>
      <x:c r="O62" s="20" t="str">
        <x:v>exact</x:v>
      </x:c>
      <x:c r="P62" s="20" t="str">
        <x:v>reported</x:v>
      </x:c>
      <x:c r="Q62" s="20" t="str"/>
      <x:c r="R62" s="20" t="str">
        <x:v>operational</x:v>
      </x:c>
      <x:c r="S62" s="20" t="str">
        <x:v>operational</x:v>
      </x:c>
      <x:c r="T62" s="20" t="str">
        <x:v>data_center</x:v>
      </x:c>
      <x:c r="U62" s="20" t="str"/>
      <x:c r="V62" s="27" t="str"/>
      <x:c r="W62" s="27" t="str"/>
      <x:c r="X62" s="27" t="str"/>
      <x:c r="Y62" s="27" t="str"/>
      <x:c r="Z62" s="20" t="str"/>
      <x:c r="AA62" s="20" t="str"/>
      <x:c r="AB62" s="20" t="str"/>
      <x:c r="AC62" s="36" t="str"/>
      <x:c r="AD62" s="20" t="str"/>
      <x:c r="AE62" s="20" t="str"/>
      <x:c r="AF62" s="20" t="str"/>
      <x:c r="AG62" s="20" t="str"/>
      <x:c r="AH62" s="20" t="str"/>
      <x:c r="AI62" s="20" t="str">
        <x:v>2026-08-26</x:v>
      </x:c>
      <x:c r="AJ62" s="20" t="str">
        <x:v>https://en.wikipedia.org/wiki/Colossus_(supercomputer) | https://www.cnbc.com/2025/07/16/musks-xai-permits-challenged-by-naacp-environmental-groups-memphis.html | https://www.datacenterdynamics.com/en/news/xai-doubles-number-of-onsite-gas-turbines-at-memphis-data-center-in-violation-of-permit-limits/ | https://www.governing.com/resilience/wastewater-will-cool-this-memphis-data-center | https://www.reuters.com/technology/artificial-intelligence/musk-says-xai-has-built-worlds-most-powerful-ai-training-cluster-2024-09-24/</x:v>
      </x:c>
      <x:c r="AK62" s="20" t="str">
        <x:v>https://www.compute-atlas.com/api/facilities?state=TN</x:v>
      </x:c>
      <x:c r="AL62" s="24" t="str">
        <x:v>https://www.compute-atlas.com/api/facilities?state=TN</x:v>
      </x:c>
      <x:c r="AM62" s="24" t="str">
        <x:v>[{"date": "2024-06", "note": "Construction began; completed in approximately 122 days", "status": "under_construction", "sourceIndex": 0}, {"date": "2024-09", "note": "Phase 1 online with ~100,000 NVIDIA H100 GPUs; later expanded with H200s", "status": "operational", "sourceIndex": 1}]</x:v>
      </x:c>
      <x:c r="AN62" s="20" t="str">
        <x:v>core_data_center</x:v>
      </x:c>
      <x:c r="AO62" s="78" t="b">
        <x:v>1</x:v>
      </x:c>
      <x:c r="AP62" s="24" t="str">
        <x:v>xai</x:v>
      </x:c>
      <x:c r="AQ62" s="20" t="str">
        <x:v>colossus</x:v>
      </x:c>
      <x:c r="AR62" s="21" t="str"/>
    </x:row>
    <x:row r="63">
      <x:c r="A63" s="85" t="str">
        <x:v>scipio_official</x:v>
      </x:c>
      <x:c r="B63" s="85" t="str">
        <x:v>scipio:chattanooga</x:v>
      </x:c>
      <x:c r="C63" s="85" t="str">
        <x:v>Scipio Technologies Chattanooga</x:v>
      </x:c>
      <x:c r="D63" s="85"/>
      <x:c r="E63" s="85" t="str">
        <x:v>Scipio Technologies</x:v>
      </x:c>
      <x:c r="F63" s="85"/>
      <x:c r="G63" s="85" t="str">
        <x:v>1100 E 11th Street</x:v>
      </x:c>
      <x:c r="H63" s="85"/>
      <x:c r="I63" s="85" t="str">
        <x:v>Chattanooga</x:v>
      </x:c>
      <x:c r="J63" s="85" t="str">
        <x:v>Hamilton</x:v>
      </x:c>
      <x:c r="K63" s="85" t="str">
        <x:v>TN</x:v>
      </x:c>
      <x:c r="L63" s="85" t="str">
        <x:v>37403</x:v>
      </x:c>
      <x:c r="M63" s="85"/>
      <x:c r="N63" s="85"/>
      <x:c r="O63" s="85" t="str">
        <x:v>address_or_site</x:v>
      </x:c>
      <x:c r="P63" s="85" t="str">
        <x:v>high</x:v>
      </x:c>
      <x:c r="Q63" s="85" t="str">
        <x:v>Public verification source; Master coordinate retained rather than inferred.</x:v>
      </x:c>
      <x:c r="R63" s="85" t="str">
        <x:v>operational</x:v>
      </x:c>
      <x:c r="S63" s="85" t="str">
        <x:v>operational</x:v>
      </x:c>
      <x:c r="T63" s="85" t="str">
        <x:v>interconnection_facility</x:v>
      </x:c>
      <x:c r="U63" s="85"/>
      <x:c r="V63" s="85"/>
      <x:c r="W63" s="85"/>
      <x:c r="X63" s="85"/>
      <x:c r="Y63" s="85"/>
      <x:c r="Z63" s="85"/>
      <x:c r="AA63" s="85"/>
      <x:c r="AB63" s="85"/>
      <x:c r="AC63" s="85"/>
      <x:c r="AD63" s="85"/>
      <x:c r="AE63" s="85"/>
      <x:c r="AF63" s="85"/>
      <x:c r="AG63" s="85"/>
      <x:c r="AH63" s="85"/>
      <x:c r="AI63" s="85" t="str">
        <x:v>2026-09-03</x:v>
      </x:c>
      <x:c r="AJ63" s="85" t="str">
        <x:v>https://scipiotech.com/support/</x:v>
      </x:c>
      <x:c r="AK63" s="85"/>
      <x:c r="AL63" s="85" t="str">
        <x:v>https://scipiotech.com/support/</x:v>
      </x:c>
      <x:c r="AM63" s="85" t="str">
        <x:v>Official Scipio location; legacy Peace Communications rebranded to Scipio.</x:v>
      </x:c>
      <x:c r="AN63" s="85" t="str">
        <x:v>core_data_center</x:v>
      </x:c>
      <x:c r="AO63" s="86" t="b">
        <x:v>1</x:v>
      </x:c>
      <x:c r="AP63" s="85" t="str">
        <x:v>Scipio Technologies</x:v>
      </x:c>
      <x:c r="AQ63" s="85" t="str">
        <x:v>scipio technologies chattanooga</x:v>
      </x:c>
      <x:c r="AR63" s="85" t="str">
        <x:v>1100 e 11th street</x:v>
      </x:c>
    </x:row>
    <x:row r="64">
      <x:c r="A64" s="85" t="str">
        <x:v>colomap</x:v>
      </x:c>
      <x:c r="B64" s="85" t="str">
        <x:v>colomap:collierville-enterprise</x:v>
      </x:c>
      <x:c r="C64" s="85" t="str">
        <x:v>Collierville Enterprise Data Center</x:v>
      </x:c>
      <x:c r="D64" s="85"/>
      <x:c r="E64" s="85" t="str">
        <x:v>Aphorio Carter</x:v>
      </x:c>
      <x:c r="F64" s="85"/>
      <x:c r="G64" s="85" t="str">
        <x:v>9 FedEx Pkwy</x:v>
      </x:c>
      <x:c r="H64" s="85"/>
      <x:c r="I64" s="85" t="str">
        <x:v>Collierville</x:v>
      </x:c>
      <x:c r="J64" s="85" t="str">
        <x:v>Shelby</x:v>
      </x:c>
      <x:c r="K64" s="85" t="str">
        <x:v>TN</x:v>
      </x:c>
      <x:c r="L64" s="85" t="str">
        <x:v>38017</x:v>
      </x:c>
      <x:c r="M64" s="85"/>
      <x:c r="N64" s="85"/>
      <x:c r="O64" s="85" t="str">
        <x:v>address_or_site</x:v>
      </x:c>
      <x:c r="P64" s="85" t="str">
        <x:v>high</x:v>
      </x:c>
      <x:c r="Q64" s="85" t="str">
        <x:v>Public verification source; Master coordinate retained rather than inferred.</x:v>
      </x:c>
      <x:c r="R64" s="85" t="str">
        <x:v>operational</x:v>
      </x:c>
      <x:c r="S64" s="85" t="str">
        <x:v>operational</x:v>
      </x:c>
      <x:c r="T64" s="85" t="str">
        <x:v>data_center</x:v>
      </x:c>
      <x:c r="U64" s="85"/>
      <x:c r="V64" s="85"/>
      <x:c r="W64" s="85"/>
      <x:c r="X64" s="85"/>
      <x:c r="Y64" s="85"/>
      <x:c r="Z64" s="85"/>
      <x:c r="AA64" s="85"/>
      <x:c r="AB64" s="85"/>
      <x:c r="AC64" s="85"/>
      <x:c r="AD64" s="85"/>
      <x:c r="AE64" s="85"/>
      <x:c r="AF64" s="85"/>
      <x:c r="AG64" s="85"/>
      <x:c r="AH64" s="85"/>
      <x:c r="AI64" s="85" t="str">
        <x:v>2026-09-03</x:v>
      </x:c>
      <x:c r="AJ64" s="85" t="str">
        <x:v>https://colomap.com/facilities/collierville-enterprise-data-center/</x:v>
      </x:c>
      <x:c r="AK64" s="85"/>
      <x:c r="AL64" s="85" t="str">
        <x:v>https://colomap.com/facilities/collierville-enterprise-data-center/</x:v>
      </x:c>
      <x:c r="AM64" s="85" t="str">
        <x:v>Independent listing confirms facility address/operator.</x:v>
      </x:c>
      <x:c r="AN64" s="85" t="str">
        <x:v>core_data_center</x:v>
      </x:c>
      <x:c r="AO64" s="86" t="b">
        <x:v>1</x:v>
      </x:c>
      <x:c r="AP64" s="85" t="str">
        <x:v>Aphorio Carter</x:v>
      </x:c>
      <x:c r="AQ64" s="85" t="str">
        <x:v>collierville enterprise data center</x:v>
      </x:c>
      <x:c r="AR64" s="85" t="str">
        <x:v>9 fedex pkwy</x:v>
      </x:c>
    </x:row>
    <x:row r="65">
      <x:c r="A65" s="85" t="str">
        <x:v>baxtel</x:v>
      </x:c>
      <x:c r="B65" s="85" t="str">
        <x:v>baxtel:centersquare-gallatin-nas</x:v>
      </x:c>
      <x:c r="C65" s="85" t="str">
        <x:v>Centersquare Gallatin (NAS)</x:v>
      </x:c>
      <x:c r="D65" s="85"/>
      <x:c r="E65" s="85" t="str">
        <x:v>Centersquare</x:v>
      </x:c>
      <x:c r="F65" s="85"/>
      <x:c r="G65" s="85" t="str">
        <x:v>1398 Gateway Dr</x:v>
      </x:c>
      <x:c r="H65" s="85"/>
      <x:c r="I65" s="85" t="str">
        <x:v>Gallatin</x:v>
      </x:c>
      <x:c r="J65" s="85" t="str">
        <x:v>Sumner</x:v>
      </x:c>
      <x:c r="K65" s="85" t="str">
        <x:v>TN</x:v>
      </x:c>
      <x:c r="L65" s="85" t="str">
        <x:v>37066</x:v>
      </x:c>
      <x:c r="M65" s="85"/>
      <x:c r="N65" s="85"/>
      <x:c r="O65" s="85" t="str">
        <x:v>address_or_site</x:v>
      </x:c>
      <x:c r="P65" s="85" t="str">
        <x:v>high</x:v>
      </x:c>
      <x:c r="Q65" s="85" t="str">
        <x:v>Public verification source; Master coordinate retained rather than inferred.</x:v>
      </x:c>
      <x:c r="R65" s="85" t="str">
        <x:v>operational</x:v>
      </x:c>
      <x:c r="S65" s="85" t="str">
        <x:v>operational</x:v>
      </x:c>
      <x:c r="T65" s="85" t="str">
        <x:v>data_center</x:v>
      </x:c>
      <x:c r="U65" s="85"/>
      <x:c r="V65" s="85"/>
      <x:c r="W65" s="85"/>
      <x:c r="X65" s="85"/>
      <x:c r="Y65" s="85"/>
      <x:c r="Z65" s="85"/>
      <x:c r="AA65" s="85"/>
      <x:c r="AB65" s="85"/>
      <x:c r="AC65" s="85"/>
      <x:c r="AD65" s="85"/>
      <x:c r="AE65" s="85"/>
      <x:c r="AF65" s="85"/>
      <x:c r="AG65" s="85"/>
      <x:c r="AH65" s="85"/>
      <x:c r="AI65" s="85" t="str">
        <x:v>2026-09-03</x:v>
      </x:c>
      <x:c r="AJ65" s="85" t="str">
        <x:v>https://baxtel.com/data-center/centersquare-gallatin-nas</x:v>
      </x:c>
      <x:c r="AK65" s="85"/>
      <x:c r="AL65" s="85" t="str">
        <x:v>https://baxtel.com/data-center/centersquare-gallatin-nas</x:v>
      </x:c>
      <x:c r="AM65" s="85" t="str">
        <x:v>Independent listing confirms operational campus and address.</x:v>
      </x:c>
      <x:c r="AN65" s="85" t="str">
        <x:v>core_data_center</x:v>
      </x:c>
      <x:c r="AO65" s="86" t="b">
        <x:v>1</x:v>
      </x:c>
      <x:c r="AP65" s="85" t="str">
        <x:v>Centersquare</x:v>
      </x:c>
      <x:c r="AQ65" s="85" t="str">
        <x:v>centersquare gallatin (nas)</x:v>
      </x:c>
      <x:c r="AR65" s="85" t="str">
        <x:v>1398 gateway dr</x:v>
      </x:c>
    </x:row>
    <x:row r="66">
      <x:c r="A66" s="85" t="str">
        <x:v>datacentermap</x:v>
      </x:c>
      <x:c r="B66" s="85" t="str">
        <x:v>datacentermap:bitdeer-tennessee</x:v>
      </x:c>
      <x:c r="C66" s="85" t="str">
        <x:v>Bitdeer Tennessee</x:v>
      </x:c>
      <x:c r="D66" s="85"/>
      <x:c r="E66" s="85" t="str">
        <x:v>Bitdeer Technologies Group</x:v>
      </x:c>
      <x:c r="F66" s="85"/>
      <x:c r="G66" s="85" t="str">
        <x:v>5101 S National Dr</x:v>
      </x:c>
      <x:c r="H66" s="85"/>
      <x:c r="I66" s="85" t="str">
        <x:v>Knoxville</x:v>
      </x:c>
      <x:c r="J66" s="85" t="str">
        <x:v>Knox</x:v>
      </x:c>
      <x:c r="K66" s="85" t="str">
        <x:v>TN</x:v>
      </x:c>
      <x:c r="L66" s="85" t="str">
        <x:v>37914</x:v>
      </x:c>
      <x:c r="M66" s="85"/>
      <x:c r="N66" s="85"/>
      <x:c r="O66" s="85" t="str">
        <x:v>address_or_site</x:v>
      </x:c>
      <x:c r="P66" s="85" t="str">
        <x:v>high</x:v>
      </x:c>
      <x:c r="Q66" s="85" t="str">
        <x:v>Public verification source; Master coordinate retained rather than inferred.</x:v>
      </x:c>
      <x:c r="R66" s="85" t="str">
        <x:v>operational</x:v>
      </x:c>
      <x:c r="S66" s="85" t="str">
        <x:v>operational</x:v>
      </x:c>
      <x:c r="T66" s="85" t="str">
        <x:v>data_center</x:v>
      </x:c>
      <x:c r="U66" s="85"/>
      <x:c r="V66" s="85" t="n">
        <x:v>86</x:v>
      </x:c>
      <x:c r="W66" s="85"/>
      <x:c r="X66" s="85"/>
      <x:c r="Y66" s="85"/>
      <x:c r="Z66" s="85"/>
      <x:c r="AA66" s="85"/>
      <x:c r="AB66" s="85"/>
      <x:c r="AC66" s="85"/>
      <x:c r="AD66" s="85"/>
      <x:c r="AE66" s="85"/>
      <x:c r="AF66" s="85"/>
      <x:c r="AG66" s="85"/>
      <x:c r="AH66" s="85"/>
      <x:c r="AI66" s="85" t="str">
        <x:v>2026-09-03</x:v>
      </x:c>
      <x:c r="AJ66" s="85" t="str">
        <x:v>https://www.datacentermap.com/usa/tennessee/knoxville/bitdeer-knoxville-tennessee/specs/</x:v>
      </x:c>
      <x:c r="AK66" s="85"/>
      <x:c r="AL66" s="85" t="str">
        <x:v>https://www.datacentermap.com/usa/tennessee/knoxville/bitdeer-knoxville-tennessee/specs/</x:v>
      </x:c>
      <x:c r="AM66" s="85" t="str">
        <x:v>Independent record reports 86 MW and year operational 2020; earlier under-construction label likely reflected AI expansion.</x:v>
      </x:c>
      <x:c r="AN66" s="85" t="str">
        <x:v>core_data_center</x:v>
      </x:c>
      <x:c r="AO66" s="86" t="b">
        <x:v>1</x:v>
      </x:c>
      <x:c r="AP66" s="85" t="str">
        <x:v>Bitdeer Technologies Group</x:v>
      </x:c>
      <x:c r="AQ66" s="85" t="str">
        <x:v>bitdeer tennessee</x:v>
      </x:c>
      <x:c r="AR66" s="85" t="str">
        <x:v>5101 s national dr</x:v>
      </x:c>
    </x:row>
    <x:row r="67">
      <x:c r="A67" s="85" t="str">
        <x:v>scipio_official</x:v>
      </x:c>
      <x:c r="B67" s="85" t="str">
        <x:v>scipio:knoxville</x:v>
      </x:c>
      <x:c r="C67" s="85" t="str">
        <x:v>Scipio Technologies Knoxville</x:v>
      </x:c>
      <x:c r="D67" s="85"/>
      <x:c r="E67" s="85" t="str">
        <x:v>Scipio Technologies</x:v>
      </x:c>
      <x:c r="F67" s="85"/>
      <x:c r="G67" s="85" t="str">
        <x:v>500 W. Summit Hill Drive</x:v>
      </x:c>
      <x:c r="H67" s="85"/>
      <x:c r="I67" s="85" t="str">
        <x:v>Knoxville</x:v>
      </x:c>
      <x:c r="J67" s="85" t="str">
        <x:v>Knox</x:v>
      </x:c>
      <x:c r="K67" s="85" t="str">
        <x:v>TN</x:v>
      </x:c>
      <x:c r="L67" s="85" t="str">
        <x:v>37902</x:v>
      </x:c>
      <x:c r="M67" s="85"/>
      <x:c r="N67" s="85"/>
      <x:c r="O67" s="85" t="str">
        <x:v>address_or_site</x:v>
      </x:c>
      <x:c r="P67" s="85" t="str">
        <x:v>high</x:v>
      </x:c>
      <x:c r="Q67" s="85" t="str">
        <x:v>Public verification source; Master coordinate retained rather than inferred.</x:v>
      </x:c>
      <x:c r="R67" s="85" t="str">
        <x:v>operational</x:v>
      </x:c>
      <x:c r="S67" s="85" t="str">
        <x:v>operational</x:v>
      </x:c>
      <x:c r="T67" s="85" t="str">
        <x:v>interconnection_facility</x:v>
      </x:c>
      <x:c r="U67" s="85"/>
      <x:c r="V67" s="85"/>
      <x:c r="W67" s="85"/>
      <x:c r="X67" s="85"/>
      <x:c r="Y67" s="85"/>
      <x:c r="Z67" s="85"/>
      <x:c r="AA67" s="85"/>
      <x:c r="AB67" s="85"/>
      <x:c r="AC67" s="85"/>
      <x:c r="AD67" s="85"/>
      <x:c r="AE67" s="85"/>
      <x:c r="AF67" s="85"/>
      <x:c r="AG67" s="85"/>
      <x:c r="AH67" s="85"/>
      <x:c r="AI67" s="85" t="str">
        <x:v>2026-09-03</x:v>
      </x:c>
      <x:c r="AJ67" s="85" t="str">
        <x:v>https://scipiotech.com/support/</x:v>
      </x:c>
      <x:c r="AK67" s="85"/>
      <x:c r="AL67" s="85" t="str">
        <x:v>https://scipiotech.com/support/</x:v>
      </x:c>
      <x:c r="AM67" s="85" t="str">
        <x:v>Official Scipio location; legacy Peace/Nexus identity preserved.</x:v>
      </x:c>
      <x:c r="AN67" s="85" t="str">
        <x:v>core_data_center</x:v>
      </x:c>
      <x:c r="AO67" s="86" t="b">
        <x:v>1</x:v>
      </x:c>
      <x:c r="AP67" s="85" t="str">
        <x:v>Scipio Technologies</x:v>
      </x:c>
      <x:c r="AQ67" s="85" t="str">
        <x:v>scipio technologies knoxville</x:v>
      </x:c>
      <x:c r="AR67" s="85" t="str">
        <x:v>500 w. summit hill drive</x:v>
      </x:c>
    </x:row>
    <x:row r="68">
      <x:c r="A68" s="85" t="str">
        <x:v>usaf_official</x:v>
      </x:c>
      <x:c r="B68" s="85" t="str">
        <x:v>usaf:arnold-no-proposal-20260601</x:v>
      </x:c>
      <x:c r="C68" s="85" t="str">
        <x:v>Arnold AFB AI Data Center Opportunity</x:v>
      </x:c>
      <x:c r="D68" s="85"/>
      <x:c r="E68" s="85"/>
      <x:c r="F68" s="85"/>
      <x:c r="G68" s="85"/>
      <x:c r="H68" s="85"/>
      <x:c r="I68" s="85" t="str">
        <x:v>Manchester</x:v>
      </x:c>
      <x:c r="J68" s="85" t="str">
        <x:v>Coffee</x:v>
      </x:c>
      <x:c r="K68" s="85" t="str">
        <x:v>TN</x:v>
      </x:c>
      <x:c r="L68" s="85" t="str">
        <x:v>37355</x:v>
      </x:c>
      <x:c r="M68" s="85"/>
      <x:c r="N68" s="85"/>
      <x:c r="O68" s="85" t="str">
        <x:v>approximate_site</x:v>
      </x:c>
      <x:c r="P68" s="85" t="str">
        <x:v>medium</x:v>
      </x:c>
      <x:c r="Q68" s="85" t="str">
        <x:v>Public verification source; Master coordinate retained rather than inferred.</x:v>
      </x:c>
      <x:c r="R68" s="85" t="str">
        <x:v>cancelled</x:v>
      </x:c>
      <x:c r="S68" s="85" t="str">
        <x:v>cancelled</x:v>
      </x:c>
      <x:c r="T68" s="85" t="str">
        <x:v>data_center</x:v>
      </x:c>
      <x:c r="U68" s="85"/>
      <x:c r="V68" s="85"/>
      <x:c r="W68" s="85"/>
      <x:c r="X68" s="85"/>
      <x:c r="Y68" s="85"/>
      <x:c r="Z68" s="85"/>
      <x:c r="AA68" s="85"/>
      <x:c r="AB68" s="85"/>
      <x:c r="AC68" s="85"/>
      <x:c r="AD68" s="85"/>
      <x:c r="AE68" s="85"/>
      <x:c r="AF68" s="85"/>
      <x:c r="AG68" s="85"/>
      <x:c r="AH68" s="85"/>
      <x:c r="AI68" s="85" t="str">
        <x:v>2026-09-03</x:v>
      </x:c>
      <x:c r="AJ68" s="85" t="str">
        <x:v>https://www.arnold.af.mil/News/Article-Display/Article/4505271/notification-of-ai-data-center-no-proposal/</x:v>
      </x:c>
      <x:c r="AK68" s="85"/>
      <x:c r="AL68" s="85" t="str">
        <x:v>https://www.arnold.af.mil/News/Article-Display/Article/4505271/notification-of-ai-data-center-no-proposal/</x:v>
      </x:c>
      <x:c r="AM68" s="85" t="str">
        <x:v>Official Arnold AFB notice says no potential offerors submitted proposals.</x:v>
      </x:c>
      <x:c r="AN68" s="85" t="str">
        <x:v>core_data_center</x:v>
      </x:c>
      <x:c r="AO68" s="86" t="b">
        <x:v>1</x:v>
      </x:c>
      <x:c r="AP68" s="85"/>
      <x:c r="AQ68" s="85" t="str">
        <x:v>arnold afb ai data center opportunity</x:v>
      </x:c>
      <x:c r="AR68" s="85"/>
    </x:row>
    <x:row r="69">
      <x:c r="A69" s="85" t="str">
        <x:v>tn_ecd</x:v>
      </x:c>
      <x:c r="B69" s="85" t="str">
        <x:v>tnecd:litewire-20150715</x:v>
      </x:c>
      <x:c r="C69" s="85" t="str">
        <x:v>Litewire McMinnville</x:v>
      </x:c>
      <x:c r="D69" s="85"/>
      <x:c r="E69" s="85" t="str">
        <x:v>Litewire</x:v>
      </x:c>
      <x:c r="F69" s="85"/>
      <x:c r="G69" s="85" t="str">
        <x:v>204 Red Rd</x:v>
      </x:c>
      <x:c r="H69" s="85"/>
      <x:c r="I69" s="85" t="str">
        <x:v>McMinnville</x:v>
      </x:c>
      <x:c r="J69" s="85" t="str">
        <x:v>Warren</x:v>
      </x:c>
      <x:c r="K69" s="85" t="str">
        <x:v>TN</x:v>
      </x:c>
      <x:c r="L69" s="85" t="str">
        <x:v>37110</x:v>
      </x:c>
      <x:c r="M69" s="85"/>
      <x:c r="N69" s="85"/>
      <x:c r="O69" s="85" t="str">
        <x:v>address_or_site</x:v>
      </x:c>
      <x:c r="P69" s="85" t="str">
        <x:v>high</x:v>
      </x:c>
      <x:c r="Q69" s="85" t="str">
        <x:v>Public verification source; Master coordinate retained rather than inferred.</x:v>
      </x:c>
      <x:c r="R69" s="85" t="str">
        <x:v>operational</x:v>
      </x:c>
      <x:c r="S69" s="85" t="str">
        <x:v>operational</x:v>
      </x:c>
      <x:c r="T69" s="85" t="str">
        <x:v>data_center</x:v>
      </x:c>
      <x:c r="U69" s="85"/>
      <x:c r="V69" s="85"/>
      <x:c r="W69" s="85"/>
      <x:c r="X69" s="85"/>
      <x:c r="Y69" s="85"/>
      <x:c r="Z69" s="85"/>
      <x:c r="AA69" s="85"/>
      <x:c r="AB69" s="85"/>
      <x:c r="AC69" s="85"/>
      <x:c r="AD69" s="85"/>
      <x:c r="AE69" s="85"/>
      <x:c r="AF69" s="85"/>
      <x:c r="AG69" s="85"/>
      <x:c r="AH69" s="85"/>
      <x:c r="AI69" s="85" t="str">
        <x:v>2026-09-03</x:v>
      </x:c>
      <x:c r="AJ69" s="85" t="str">
        <x:v>https://www.tn.gov/ecd/news/2015/7/15/litewire-llc-to-open-new-facility-in-warren-county.html</x:v>
      </x:c>
      <x:c r="AK69" s="85"/>
      <x:c r="AL69" s="85" t="str">
        <x:v>https://www.tn.gov/ecd/news/2015/7/15/litewire-llc-to-open-new-facility-in-warren-county.html</x:v>
      </x:c>
      <x:c r="AM69" s="85" t="str">
        <x:v>Tennessee ECD announcement identifies Tier IV data center at 204 Red Rd.</x:v>
      </x:c>
      <x:c r="AN69" s="85" t="str">
        <x:v>core_data_center</x:v>
      </x:c>
      <x:c r="AO69" s="86" t="b">
        <x:v>1</x:v>
      </x:c>
      <x:c r="AP69" s="85" t="str">
        <x:v>Litewire</x:v>
      </x:c>
      <x:c r="AQ69" s="85" t="str">
        <x:v>litewire mcminnville</x:v>
      </x:c>
      <x:c r="AR69" s="85" t="str">
        <x:v>204 red rd</x:v>
      </x:c>
    </x:row>
    <x:row r="70">
      <x:c r="A70" s="85" t="str">
        <x:v>reuters</x:v>
      </x:c>
      <x:c r="B70" s="85" t="str">
        <x:v>reuters:xai-colossus-20240924</x:v>
      </x:c>
      <x:c r="C70" s="85" t="str">
        <x:v>Colossus</x:v>
      </x:c>
      <x:c r="D70" s="85"/>
      <x:c r="E70" s="85" t="str">
        <x:v>xAI</x:v>
      </x:c>
      <x:c r="F70" s="85"/>
      <x:c r="G70" s="85"/>
      <x:c r="H70" s="85"/>
      <x:c r="I70" s="85" t="str">
        <x:v>Memphis</x:v>
      </x:c>
      <x:c r="J70" s="85" t="str">
        <x:v>Shelby</x:v>
      </x:c>
      <x:c r="K70" s="85" t="str">
        <x:v>TN</x:v>
      </x:c>
      <x:c r="L70" s="85"/>
      <x:c r="M70" s="85"/>
      <x:c r="N70" s="85"/>
      <x:c r="O70" s="85" t="str">
        <x:v>exact</x:v>
      </x:c>
      <x:c r="P70" s="85" t="str">
        <x:v>medium</x:v>
      </x:c>
      <x:c r="Q70" s="85" t="str">
        <x:v>Public verification source; Master coordinate retained rather than inferred.</x:v>
      </x:c>
      <x:c r="R70" s="85" t="str">
        <x:v>operational</x:v>
      </x:c>
      <x:c r="S70" s="85" t="str">
        <x:v>operational</x:v>
      </x:c>
      <x:c r="T70" s="85" t="str">
        <x:v>data_center</x:v>
      </x:c>
      <x:c r="U70" s="85"/>
      <x:c r="V70" s="85"/>
      <x:c r="W70" s="85"/>
      <x:c r="X70" s="85"/>
      <x:c r="Y70" s="85"/>
      <x:c r="Z70" s="85"/>
      <x:c r="AA70" s="85"/>
      <x:c r="AB70" s="85"/>
      <x:c r="AC70" s="85"/>
      <x:c r="AD70" s="85"/>
      <x:c r="AE70" s="85"/>
      <x:c r="AF70" s="85"/>
      <x:c r="AG70" s="85"/>
      <x:c r="AH70" s="85"/>
      <x:c r="AI70" s="85" t="str">
        <x:v>2026-09-03</x:v>
      </x:c>
      <x:c r="AJ70" s="85" t="str">
        <x:v>https://www.reuters.com/technology/artificial-intelligence/musk-says-xai-has-built-worlds-most-powerful-ai-training-cluster-2024-09-24/</x:v>
      </x:c>
      <x:c r="AK70" s="85"/>
      <x:c r="AL70" s="85" t="str">
        <x:v>https://www.reuters.com/technology/artificial-intelligence/musk-says-xai-has-built-worlds-most-powerful-ai-training-cluster-2024-09-24/</x:v>
      </x:c>
      <x:c r="AM70" s="85" t="str">
        <x:v>Independent reporting confirms Colossus in Memphis; exact entity overlap remains under review.</x:v>
      </x:c>
      <x:c r="AN70" s="85" t="str">
        <x:v>core_data_center</x:v>
      </x:c>
      <x:c r="AO70" s="86" t="b">
        <x:v>1</x:v>
      </x:c>
      <x:c r="AP70" s="85" t="str">
        <x:v>xAI</x:v>
      </x:c>
      <x:c r="AQ70" s="85" t="str">
        <x:v>colossus</x:v>
      </x:c>
      <x:c r="AR70" s="85"/>
    </x:row>
    <x:row r="71">
      <x:c r="A71" s="85" t="str">
        <x:v>edgeconnex_official</x:v>
      </x:c>
      <x:c r="B71" s="85" t="str">
        <x:v>edgeconnex:mem01-datasheet</x:v>
      </x:c>
      <x:c r="C71" s="85" t="str">
        <x:v>EdgeConneX Memphis MEM01</x:v>
      </x:c>
      <x:c r="D71" s="85"/>
      <x:c r="E71" s="85" t="str">
        <x:v>EdgeConneX</x:v>
      </x:c>
      <x:c r="F71" s="85"/>
      <x:c r="G71" s="85" t="str">
        <x:v>4005 S Mendenhall Rd, #6</x:v>
      </x:c>
      <x:c r="H71" s="85"/>
      <x:c r="I71" s="85" t="str">
        <x:v>Memphis</x:v>
      </x:c>
      <x:c r="J71" s="85" t="str">
        <x:v>Shelby</x:v>
      </x:c>
      <x:c r="K71" s="85" t="str">
        <x:v>TN</x:v>
      </x:c>
      <x:c r="L71" s="85" t="str">
        <x:v>38115</x:v>
      </x:c>
      <x:c r="M71" s="85"/>
      <x:c r="N71" s="85"/>
      <x:c r="O71" s="85" t="str">
        <x:v>address_or_site</x:v>
      </x:c>
      <x:c r="P71" s="85" t="str">
        <x:v>high</x:v>
      </x:c>
      <x:c r="Q71" s="85" t="str">
        <x:v>Public verification source; Master coordinate retained rather than inferred.</x:v>
      </x:c>
      <x:c r="R71" s="85" t="str">
        <x:v>operational</x:v>
      </x:c>
      <x:c r="S71" s="85" t="str">
        <x:v>operational</x:v>
      </x:c>
      <x:c r="T71" s="85" t="str">
        <x:v>interconnection_facility</x:v>
      </x:c>
      <x:c r="U71" s="85"/>
      <x:c r="V71" s="85"/>
      <x:c r="W71" s="85"/>
      <x:c r="X71" s="85"/>
      <x:c r="Y71" s="85"/>
      <x:c r="Z71" s="85"/>
      <x:c r="AA71" s="85"/>
      <x:c r="AB71" s="85"/>
      <x:c r="AC71" s="85"/>
      <x:c r="AD71" s="85"/>
      <x:c r="AE71" s="85"/>
      <x:c r="AF71" s="85"/>
      <x:c r="AG71" s="85"/>
      <x:c r="AH71" s="85"/>
      <x:c r="AI71" s="85" t="str">
        <x:v>2026-09-03</x:v>
      </x:c>
      <x:c r="AJ71" s="85" t="str">
        <x:v>https://www.edgeconnex.com/wp-content/uploads/2023/06/ECX-22-39-MEMPHIS-2023-DATA-SHEET-V3.pdf</x:v>
      </x:c>
      <x:c r="AK71" s="85"/>
      <x:c r="AL71" s="85" t="str">
        <x:v>https://www.edgeconnex.com/wp-content/uploads/2023/06/ECX-22-39-MEMPHIS-2023-DATA-SHEET-V3.pdf</x:v>
      </x:c>
      <x:c r="AM71" s="85" t="str">
        <x:v>EdgeConneX facility data sheet confirms address and operating specs.</x:v>
      </x:c>
      <x:c r="AN71" s="85" t="str">
        <x:v>core_data_center</x:v>
      </x:c>
      <x:c r="AO71" s="86" t="b">
        <x:v>1</x:v>
      </x:c>
      <x:c r="AP71" s="85" t="str">
        <x:v>EdgeConneX</x:v>
      </x:c>
      <x:c r="AQ71" s="85" t="str">
        <x:v>edgeconnex memphis mem01</x:v>
      </x:c>
      <x:c r="AR71" s="85" t="str">
        <x:v>4005 s mendenhall rd, #6</x:v>
      </x:c>
    </x:row>
    <x:row r="72">
      <x:c r="A72" s="85" t="str">
        <x:v>expedient_official</x:v>
      </x:c>
      <x:c r="B72" s="85" t="str">
        <x:v>expedient:mem1</x:v>
      </x:c>
      <x:c r="C72" s="85" t="str">
        <x:v>Expedient Memphis MEM1</x:v>
      </x:c>
      <x:c r="D72" s="85"/>
      <x:c r="E72" s="85" t="str">
        <x:v>Expedient</x:v>
      </x:c>
      <x:c r="F72" s="85"/>
      <x:c r="G72" s="85" t="str">
        <x:v>3180 Players Lane</x:v>
      </x:c>
      <x:c r="H72" s="85"/>
      <x:c r="I72" s="85" t="str">
        <x:v>Memphis</x:v>
      </x:c>
      <x:c r="J72" s="85" t="str">
        <x:v>Shelby</x:v>
      </x:c>
      <x:c r="K72" s="85" t="str">
        <x:v>TN</x:v>
      </x:c>
      <x:c r="L72" s="85" t="str">
        <x:v>38125</x:v>
      </x:c>
      <x:c r="M72" s="85"/>
      <x:c r="N72" s="85"/>
      <x:c r="O72" s="85" t="str">
        <x:v>address_or_site</x:v>
      </x:c>
      <x:c r="P72" s="85" t="str">
        <x:v>high</x:v>
      </x:c>
      <x:c r="Q72" s="85" t="str">
        <x:v>Public verification source; Master coordinate retained rather than inferred.</x:v>
      </x:c>
      <x:c r="R72" s="85" t="str">
        <x:v>operational</x:v>
      </x:c>
      <x:c r="S72" s="85" t="str">
        <x:v>operational</x:v>
      </x:c>
      <x:c r="T72" s="85" t="str">
        <x:v>interconnection_facility</x:v>
      </x:c>
      <x:c r="U72" s="85"/>
      <x:c r="V72" s="85" t="n">
        <x:v>1.5</x:v>
      </x:c>
      <x:c r="W72" s="85"/>
      <x:c r="X72" s="85"/>
      <x:c r="Y72" s="85" t="n">
        <x:v>35000</x:v>
      </x:c>
      <x:c r="Z72" s="85"/>
      <x:c r="AA72" s="85"/>
      <x:c r="AB72" s="85"/>
      <x:c r="AC72" s="85"/>
      <x:c r="AD72" s="85"/>
      <x:c r="AE72" s="85"/>
      <x:c r="AF72" s="85"/>
      <x:c r="AG72" s="85"/>
      <x:c r="AH72" s="85"/>
      <x:c r="AI72" s="85" t="str">
        <x:v>2026-09-03</x:v>
      </x:c>
      <x:c r="AJ72" s="85" t="str">
        <x:v>https://www.expedient.com/data-centers/memphis/</x:v>
      </x:c>
      <x:c r="AK72" s="85"/>
      <x:c r="AL72" s="85" t="str">
        <x:v>https://www.expedient.com/data-centers/memphis/</x:v>
      </x:c>
      <x:c r="AM72" s="85" t="str">
        <x:v>Official Expedient page confirms address, 1.5 MW critical IT load and 35,000 sq ft.</x:v>
      </x:c>
      <x:c r="AN72" s="85" t="str">
        <x:v>core_data_center</x:v>
      </x:c>
      <x:c r="AO72" s="86" t="b">
        <x:v>1</x:v>
      </x:c>
      <x:c r="AP72" s="85" t="str">
        <x:v>Expedient</x:v>
      </x:c>
      <x:c r="AQ72" s="85" t="str">
        <x:v>expedient memphis mem1</x:v>
      </x:c>
      <x:c r="AR72" s="85" t="str">
        <x:v>3180 players lane</x:v>
      </x:c>
    </x:row>
    <x:row r="73">
      <x:c r="A73" s="85" t="str">
        <x:v>datacentermap</x:v>
      </x:c>
      <x:c r="B73" s="85" t="str">
        <x:v>datacentermap:lumen-memphis1</x:v>
      </x:c>
      <x:c r="C73" s="85" t="str">
        <x:v>Lumen Memphis 1</x:v>
      </x:c>
      <x:c r="D73" s="85"/>
      <x:c r="E73" s="85" t="str">
        <x:v>Lumen</x:v>
      </x:c>
      <x:c r="F73" s="85"/>
      <x:c r="G73" s="85" t="str">
        <x:v>3993 Crowfarn Drive</x:v>
      </x:c>
      <x:c r="H73" s="85"/>
      <x:c r="I73" s="85" t="str">
        <x:v>Memphis</x:v>
      </x:c>
      <x:c r="J73" s="85" t="str">
        <x:v>Shelby</x:v>
      </x:c>
      <x:c r="K73" s="85" t="str">
        <x:v>TN</x:v>
      </x:c>
      <x:c r="L73" s="85" t="str">
        <x:v>38118</x:v>
      </x:c>
      <x:c r="M73" s="85"/>
      <x:c r="N73" s="85"/>
      <x:c r="O73" s="85" t="str">
        <x:v>address_or_site</x:v>
      </x:c>
      <x:c r="P73" s="85" t="str">
        <x:v>high</x:v>
      </x:c>
      <x:c r="Q73" s="85" t="str">
        <x:v>Public verification source; Master coordinate retained rather than inferred.</x:v>
      </x:c>
      <x:c r="R73" s="85" t="str">
        <x:v>operational</x:v>
      </x:c>
      <x:c r="S73" s="85" t="str">
        <x:v>operational</x:v>
      </x:c>
      <x:c r="T73" s="85" t="str">
        <x:v>interconnection_facility</x:v>
      </x:c>
      <x:c r="U73" s="85"/>
      <x:c r="V73" s="85"/>
      <x:c r="W73" s="85"/>
      <x:c r="X73" s="85"/>
      <x:c r="Y73" s="85"/>
      <x:c r="Z73" s="85"/>
      <x:c r="AA73" s="85"/>
      <x:c r="AB73" s="85"/>
      <x:c r="AC73" s="85"/>
      <x:c r="AD73" s="85"/>
      <x:c r="AE73" s="85"/>
      <x:c r="AF73" s="85"/>
      <x:c r="AG73" s="85"/>
      <x:c r="AH73" s="85"/>
      <x:c r="AI73" s="85" t="str">
        <x:v>2026-09-03</x:v>
      </x:c>
      <x:c r="AJ73" s="85" t="str">
        <x:v>https://www.datacentermap.com/usa/tennessee/memphis/level3-memphis1/</x:v>
      </x:c>
      <x:c r="AK73" s="85"/>
      <x:c r="AL73" s="85" t="str">
        <x:v>https://www.datacentermap.com/usa/tennessee/memphis/level3-memphis1/</x:v>
      </x:c>
      <x:c r="AM73" s="85" t="str">
        <x:v>Independent listing confirms site and Level3/CenturyLink/Lumen lineage.</x:v>
      </x:c>
      <x:c r="AN73" s="85" t="str">
        <x:v>core_data_center</x:v>
      </x:c>
      <x:c r="AO73" s="86" t="b">
        <x:v>1</x:v>
      </x:c>
      <x:c r="AP73" s="85" t="str">
        <x:v>Lumen</x:v>
      </x:c>
      <x:c r="AQ73" s="85" t="str">
        <x:v>lumen memphis 1</x:v>
      </x:c>
      <x:c r="AR73" s="85" t="str">
        <x:v>3993 crowfarn drive</x:v>
      </x:c>
    </x:row>
    <x:row r="74">
      <x:c r="A74" s="85" t="str">
        <x:v>datacenterdynamics</x:v>
      </x:c>
      <x:c r="B74" s="85" t="str">
        <x:v>dcd:xai-colossus1</x:v>
      </x:c>
      <x:c r="C74" s="85" t="str">
        <x:v>xAI Colossus 1</x:v>
      </x:c>
      <x:c r="D74" s="85"/>
      <x:c r="E74" s="85" t="str">
        <x:v>xAI</x:v>
      </x:c>
      <x:c r="F74" s="85"/>
      <x:c r="G74" s="85" t="str">
        <x:v>Paul Lowry Rd / Riverport Rd</x:v>
      </x:c>
      <x:c r="H74" s="85"/>
      <x:c r="I74" s="85" t="str">
        <x:v>Memphis</x:v>
      </x:c>
      <x:c r="J74" s="85" t="str">
        <x:v>Shelby</x:v>
      </x:c>
      <x:c r="K74" s="85" t="str">
        <x:v>TN</x:v>
      </x:c>
      <x:c r="L74" s="85" t="str">
        <x:v>38109</x:v>
      </x:c>
      <x:c r="M74" s="85"/>
      <x:c r="N74" s="85"/>
      <x:c r="O74" s="85" t="str">
        <x:v>address_or_site</x:v>
      </x:c>
      <x:c r="P74" s="85" t="str">
        <x:v>high</x:v>
      </x:c>
      <x:c r="Q74" s="85" t="str">
        <x:v>Public verification source; Master coordinate retained rather than inferred.</x:v>
      </x:c>
      <x:c r="R74" s="85" t="str">
        <x:v>operational</x:v>
      </x:c>
      <x:c r="S74" s="85" t="str">
        <x:v>operational</x:v>
      </x:c>
      <x:c r="T74" s="85" t="str">
        <x:v>data_center</x:v>
      </x:c>
      <x:c r="U74" s="85"/>
      <x:c r="V74" s="85"/>
      <x:c r="W74" s="85"/>
      <x:c r="X74" s="85"/>
      <x:c r="Y74" s="85"/>
      <x:c r="Z74" s="85"/>
      <x:c r="AA74" s="85"/>
      <x:c r="AB74" s="85"/>
      <x:c r="AC74" s="85"/>
      <x:c r="AD74" s="85"/>
      <x:c r="AE74" s="85"/>
      <x:c r="AF74" s="85"/>
      <x:c r="AG74" s="85"/>
      <x:c r="AH74" s="85"/>
      <x:c r="AI74" s="85" t="str">
        <x:v>2026-09-03</x:v>
      </x:c>
      <x:c r="AJ74" s="85" t="str">
        <x:v>https://www.datacenterdynamics.com/en/news/xai-removes-some-of-controversial-gas-turbines-from-memphis-data-center/</x:v>
      </x:c>
      <x:c r="AK74" s="85"/>
      <x:c r="AL74" s="85" t="str">
        <x:v>https://www.datacenterdynamics.com/en/news/xai-removes-some-of-controversial-gas-turbines-from-memphis-data-center/</x:v>
      </x:c>
      <x:c r="AM74" s="85" t="str">
        <x:v>Independent reporting confirms original Colossus 1 Memphis facility.</x:v>
      </x:c>
      <x:c r="AN74" s="85" t="str">
        <x:v>core_data_center</x:v>
      </x:c>
      <x:c r="AO74" s="86" t="b">
        <x:v>1</x:v>
      </x:c>
      <x:c r="AP74" s="85" t="str">
        <x:v>xAI</x:v>
      </x:c>
      <x:c r="AQ74" s="85" t="str">
        <x:v>xai colossus 1</x:v>
      </x:c>
      <x:c r="AR74" s="85" t="str">
        <x:v>paul lowry rd / riverport rd</x:v>
      </x:c>
    </x:row>
    <x:row r="75">
      <x:c r="A75" s="85" t="str">
        <x:v>datacenterdynamics</x:v>
      </x:c>
      <x:c r="B75" s="85" t="str">
        <x:v>dcd:xai-colossus2</x:v>
      </x:c>
      <x:c r="C75" s="85" t="str">
        <x:v>xAI Colossus 2</x:v>
      </x:c>
      <x:c r="D75" s="85"/>
      <x:c r="E75" s="85" t="str">
        <x:v>xAI</x:v>
      </x:c>
      <x:c r="F75" s="85"/>
      <x:c r="G75" s="85" t="str">
        <x:v>Tulane Rd</x:v>
      </x:c>
      <x:c r="H75" s="85"/>
      <x:c r="I75" s="85" t="str">
        <x:v>Memphis</x:v>
      </x:c>
      <x:c r="J75" s="85" t="str">
        <x:v>Shelby</x:v>
      </x:c>
      <x:c r="K75" s="85" t="str">
        <x:v>TN</x:v>
      </x:c>
      <x:c r="L75" s="85" t="str">
        <x:v>38109</x:v>
      </x:c>
      <x:c r="M75" s="85"/>
      <x:c r="N75" s="85"/>
      <x:c r="O75" s="85" t="str">
        <x:v>address_or_site</x:v>
      </x:c>
      <x:c r="P75" s="85" t="str">
        <x:v>high</x:v>
      </x:c>
      <x:c r="Q75" s="85" t="str">
        <x:v>Public verification source; Master coordinate retained rather than inferred.</x:v>
      </x:c>
      <x:c r="R75" s="85" t="str">
        <x:v>expanding</x:v>
      </x:c>
      <x:c r="S75" s="85" t="str">
        <x:v>expanding</x:v>
      </x:c>
      <x:c r="T75" s="85" t="str">
        <x:v>data_center</x:v>
      </x:c>
      <x:c r="U75" s="85"/>
      <x:c r="V75" s="85"/>
      <x:c r="W75" s="85"/>
      <x:c r="X75" s="85"/>
      <x:c r="Y75" s="85"/>
      <x:c r="Z75" s="85"/>
      <x:c r="AA75" s="85"/>
      <x:c r="AB75" s="85"/>
      <x:c r="AC75" s="85"/>
      <x:c r="AD75" s="85"/>
      <x:c r="AE75" s="85"/>
      <x:c r="AF75" s="85"/>
      <x:c r="AG75" s="85"/>
      <x:c r="AH75" s="85"/>
      <x:c r="AI75" s="85" t="str">
        <x:v>2026-09-03</x:v>
      </x:c>
      <x:c r="AJ75" s="85" t="str">
        <x:v>https://www.datacenterdynamics.com/en/news/elon-musks-xai-buys-one-million-sq-ft-site-for-second-memphis-data-center/</x:v>
      </x:c>
      <x:c r="AK75" s="85"/>
      <x:c r="AL75" s="85" t="str">
        <x:v>https://www.datacenterdynamics.com/en/news/elon-musks-xai-buys-one-million-sq-ft-site-for-second-memphis-data-center/</x:v>
      </x:c>
      <x:c r="AM75" s="85" t="str">
        <x:v>Independent reporting confirms second Memphis data center site.</x:v>
      </x:c>
      <x:c r="AN75" s="85" t="str">
        <x:v>core_data_center</x:v>
      </x:c>
      <x:c r="AO75" s="86" t="b">
        <x:v>1</x:v>
      </x:c>
      <x:c r="AP75" s="85" t="str">
        <x:v>xAI</x:v>
      </x:c>
      <x:c r="AQ75" s="85" t="str">
        <x:v>xai colossus 2</x:v>
      </x:c>
      <x:c r="AR75" s="85" t="str">
        <x:v>tulane rd</x:v>
      </x:c>
    </x:row>
    <x:row r="76">
      <x:c r="A76" s="85" t="str">
        <x:v>edgeconnex_official</x:v>
      </x:c>
      <x:c r="B76" s="85" t="str">
        <x:v>edgeconnex:nas01-datasheet</x:v>
      </x:c>
      <x:c r="C76" s="85" t="str">
        <x:v>EdgeConneX Nashville NAS01</x:v>
      </x:c>
      <x:c r="D76" s="85"/>
      <x:c r="E76" s="85" t="str">
        <x:v>EdgeConneX</x:v>
      </x:c>
      <x:c r="F76" s="85"/>
      <x:c r="G76" s="85" t="str">
        <x:v>1841 Air Lane Dr, Bldg. 3</x:v>
      </x:c>
      <x:c r="H76" s="85"/>
      <x:c r="I76" s="85" t="str">
        <x:v>Nashville</x:v>
      </x:c>
      <x:c r="J76" s="85" t="str">
        <x:v>Davidson</x:v>
      </x:c>
      <x:c r="K76" s="85" t="str">
        <x:v>TN</x:v>
      </x:c>
      <x:c r="L76" s="85" t="str">
        <x:v>37210</x:v>
      </x:c>
      <x:c r="M76" s="85"/>
      <x:c r="N76" s="85"/>
      <x:c r="O76" s="85" t="str">
        <x:v>address_or_site</x:v>
      </x:c>
      <x:c r="P76" s="85" t="str">
        <x:v>high</x:v>
      </x:c>
      <x:c r="Q76" s="85" t="str">
        <x:v>Public verification source; Master coordinate retained rather than inferred.</x:v>
      </x:c>
      <x:c r="R76" s="85" t="str">
        <x:v>operational</x:v>
      </x:c>
      <x:c r="S76" s="85" t="str">
        <x:v>operational</x:v>
      </x:c>
      <x:c r="T76" s="85" t="str">
        <x:v>interconnection_facility</x:v>
      </x:c>
      <x:c r="U76" s="85"/>
      <x:c r="V76" s="85" t="n">
        <x:v>0.5</x:v>
      </x:c>
      <x:c r="W76" s="85"/>
      <x:c r="X76" s="85"/>
      <x:c r="Y76" s="85" t="n">
        <x:v>42500</x:v>
      </x:c>
      <x:c r="Z76" s="85"/>
      <x:c r="AA76" s="85"/>
      <x:c r="AB76" s="85"/>
      <x:c r="AC76" s="85"/>
      <x:c r="AD76" s="85"/>
      <x:c r="AE76" s="85"/>
      <x:c r="AF76" s="85"/>
      <x:c r="AG76" s="85"/>
      <x:c r="AH76" s="85"/>
      <x:c r="AI76" s="85" t="str">
        <x:v>2026-09-03</x:v>
      </x:c>
      <x:c r="AJ76" s="85" t="str">
        <x:v>https://static.datacentermap.com/company/edgeconnex/datacenter5546/EDCNAS01%20-%20Data%20Sheet.pdf</x:v>
      </x:c>
      <x:c r="AK76" s="85"/>
      <x:c r="AL76" s="85" t="str">
        <x:v>https://static.datacentermap.com/company/edgeconnex/datacenter5546/EDCNAS01%20-%20Data%20Sheet.pdf</x:v>
      </x:c>
      <x:c r="AM76" s="85" t="str">
        <x:v>Facility data sheet confirms address/specifications.</x:v>
      </x:c>
      <x:c r="AN76" s="85" t="str">
        <x:v>core_data_center</x:v>
      </x:c>
      <x:c r="AO76" s="86" t="b">
        <x:v>1</x:v>
      </x:c>
      <x:c r="AP76" s="85" t="str">
        <x:v>EdgeConneX</x:v>
      </x:c>
      <x:c r="AQ76" s="85" t="str">
        <x:v>edgeconnex nashville nas01</x:v>
      </x:c>
      <x:c r="AR76" s="85" t="str">
        <x:v>1841 air lane dr, bldg. 3</x:v>
      </x:c>
    </x:row>
    <x:row r="77">
      <x:c r="A77" s="85" t="str">
        <x:v>datacentermap</x:v>
      </x:c>
      <x:c r="B77" s="85" t="str">
        <x:v>datacentermap:h5-nashville1</x:v>
      </x:c>
      <x:c r="C77" s="85" t="str">
        <x:v>H5 Data Centers Nashville I</x:v>
      </x:c>
      <x:c r="D77" s="85"/>
      <x:c r="E77" s="85" t="str">
        <x:v>H5 Data Centers</x:v>
      </x:c>
      <x:c r="F77" s="85"/>
      <x:c r="G77" s="85" t="str">
        <x:v>211 Commerce St</x:v>
      </x:c>
      <x:c r="H77" s="85"/>
      <x:c r="I77" s="85" t="str">
        <x:v>Nashville</x:v>
      </x:c>
      <x:c r="J77" s="85" t="str">
        <x:v>Davidson</x:v>
      </x:c>
      <x:c r="K77" s="85" t="str">
        <x:v>TN</x:v>
      </x:c>
      <x:c r="L77" s="85" t="str">
        <x:v>37201</x:v>
      </x:c>
      <x:c r="M77" s="85"/>
      <x:c r="N77" s="85"/>
      <x:c r="O77" s="85" t="str">
        <x:v>address_or_site</x:v>
      </x:c>
      <x:c r="P77" s="85" t="str">
        <x:v>high</x:v>
      </x:c>
      <x:c r="Q77" s="85" t="str">
        <x:v>Public verification source; Master coordinate retained rather than inferred.</x:v>
      </x:c>
      <x:c r="R77" s="85" t="str">
        <x:v>operational</x:v>
      </x:c>
      <x:c r="S77" s="85" t="str">
        <x:v>operational</x:v>
      </x:c>
      <x:c r="T77" s="85" t="str">
        <x:v>interconnection_facility</x:v>
      </x:c>
      <x:c r="U77" s="85"/>
      <x:c r="V77" s="85"/>
      <x:c r="W77" s="85"/>
      <x:c r="X77" s="85"/>
      <x:c r="Y77" s="85"/>
      <x:c r="Z77" s="85"/>
      <x:c r="AA77" s="85"/>
      <x:c r="AB77" s="85"/>
      <x:c r="AC77" s="85"/>
      <x:c r="AD77" s="85"/>
      <x:c r="AE77" s="85"/>
      <x:c r="AF77" s="85"/>
      <x:c r="AG77" s="85"/>
      <x:c r="AH77" s="85"/>
      <x:c r="AI77" s="85" t="str">
        <x:v>2026-09-03</x:v>
      </x:c>
      <x:c r="AJ77" s="85" t="str">
        <x:v>https://www.datacentermap.com/usa/tennessee/nashville/h5-nashville/</x:v>
      </x:c>
      <x:c r="AK77" s="85"/>
      <x:c r="AL77" s="85" t="str">
        <x:v>https://www.datacentermap.com/usa/tennessee/nashville/h5-nashville/</x:v>
      </x:c>
      <x:c r="AM77" s="85" t="str">
        <x:v>Independent current listing confirms H5 Nashville I at 211 Commerce St; legacy IRIS relationship retained.</x:v>
      </x:c>
      <x:c r="AN77" s="85" t="str">
        <x:v>core_data_center</x:v>
      </x:c>
      <x:c r="AO77" s="86" t="b">
        <x:v>1</x:v>
      </x:c>
      <x:c r="AP77" s="85" t="str">
        <x:v>H5 Data Centers</x:v>
      </x:c>
      <x:c r="AQ77" s="85" t="str">
        <x:v>h5 data centers nashville i</x:v>
      </x:c>
      <x:c r="AR77" s="85" t="str">
        <x:v>211 commerce st</x:v>
      </x:c>
    </x:row>
    <x:row r="78">
      <x:c r="A78" s="85" t="str">
        <x:v>wsmv</x:v>
      </x:c>
      <x:c r="B78" s="85" t="str">
        <x:v>wsmv:nashville-list-9th</x:v>
      </x:c>
      <x:c r="C78" s="85" t="str">
        <x:v>Lumen Nashville 3</x:v>
      </x:c>
      <x:c r="D78" s="85"/>
      <x:c r="E78" s="85" t="str">
        <x:v>Lumen</x:v>
      </x:c>
      <x:c r="F78" s="85"/>
      <x:c r="G78" s="85" t="str">
        <x:v>2208 9th Avenue North</x:v>
      </x:c>
      <x:c r="H78" s="85"/>
      <x:c r="I78" s="85" t="str">
        <x:v>Nashville</x:v>
      </x:c>
      <x:c r="J78" s="85" t="str">
        <x:v>Davidson</x:v>
      </x:c>
      <x:c r="K78" s="85" t="str">
        <x:v>TN</x:v>
      </x:c>
      <x:c r="L78" s="85" t="str">
        <x:v>37208</x:v>
      </x:c>
      <x:c r="M78" s="85"/>
      <x:c r="N78" s="85"/>
      <x:c r="O78" s="85" t="str">
        <x:v>address_or_site</x:v>
      </x:c>
      <x:c r="P78" s="85" t="str">
        <x:v>high</x:v>
      </x:c>
      <x:c r="Q78" s="85" t="str">
        <x:v>Public verification source; Master coordinate retained rather than inferred.</x:v>
      </x:c>
      <x:c r="R78" s="85" t="str">
        <x:v>operational</x:v>
      </x:c>
      <x:c r="S78" s="85" t="str">
        <x:v>operational</x:v>
      </x:c>
      <x:c r="T78" s="85" t="str">
        <x:v>interconnection_facility</x:v>
      </x:c>
      <x:c r="U78" s="85"/>
      <x:c r="V78" s="85"/>
      <x:c r="W78" s="85"/>
      <x:c r="X78" s="85"/>
      <x:c r="Y78" s="85"/>
      <x:c r="Z78" s="85"/>
      <x:c r="AA78" s="85"/>
      <x:c r="AB78" s="85"/>
      <x:c r="AC78" s="85"/>
      <x:c r="AD78" s="85"/>
      <x:c r="AE78" s="85"/>
      <x:c r="AF78" s="85"/>
      <x:c r="AG78" s="85"/>
      <x:c r="AH78" s="85"/>
      <x:c r="AI78" s="85" t="str">
        <x:v>2026-09-03</x:v>
      </x:c>
      <x:c r="AJ78" s="85" t="str">
        <x:v>https://www.wsmv.com/2026/06/04/how-many-data-centers-are-there-nashville-heres-map-where-theyre-located/</x:v>
      </x:c>
      <x:c r="AK78" s="85"/>
      <x:c r="AL78" s="85" t="str">
        <x:v>https://www.wsmv.com/2026/06/04/how-many-data-centers-are-there-nashville-heres-map-where-theyre-located/</x:v>
      </x:c>
      <x:c r="AM78" s="85" t="str">
        <x:v>WSMV confirmed Nashville list independently verifies this Lumen/Level3 site.</x:v>
      </x:c>
      <x:c r="AN78" s="85" t="str">
        <x:v>core_data_center</x:v>
      </x:c>
      <x:c r="AO78" s="86" t="b">
        <x:v>1</x:v>
      </x:c>
      <x:c r="AP78" s="85" t="str">
        <x:v>Lumen</x:v>
      </x:c>
      <x:c r="AQ78" s="85" t="str">
        <x:v>lumen nashville 3</x:v>
      </x:c>
      <x:c r="AR78" s="85" t="str">
        <x:v>2208 9th avenue north</x:v>
      </x:c>
    </x:row>
    <x:row r="79">
      <x:c r="A79" s="85" t="str">
        <x:v>wsmv</x:v>
      </x:c>
      <x:c r="B79" s="85" t="str">
        <x:v>wsmv:nashville-list-sidco</x:v>
      </x:c>
      <x:c r="C79" s="85" t="str">
        <x:v>Lumen Nashville 1</x:v>
      </x:c>
      <x:c r="D79" s="85"/>
      <x:c r="E79" s="85" t="str">
        <x:v>Lumen</x:v>
      </x:c>
      <x:c r="F79" s="85"/>
      <x:c r="G79" s="85" t="str">
        <x:v>2990 Sidco Drive</x:v>
      </x:c>
      <x:c r="H79" s="85"/>
      <x:c r="I79" s="85" t="str">
        <x:v>Nashville</x:v>
      </x:c>
      <x:c r="J79" s="85" t="str">
        <x:v>Davidson</x:v>
      </x:c>
      <x:c r="K79" s="85" t="str">
        <x:v>TN</x:v>
      </x:c>
      <x:c r="L79" s="85" t="str">
        <x:v>37204</x:v>
      </x:c>
      <x:c r="M79" s="85"/>
      <x:c r="N79" s="85"/>
      <x:c r="O79" s="85" t="str">
        <x:v>address_or_site</x:v>
      </x:c>
      <x:c r="P79" s="85" t="str">
        <x:v>high</x:v>
      </x:c>
      <x:c r="Q79" s="85" t="str">
        <x:v>Public verification source; Master coordinate retained rather than inferred.</x:v>
      </x:c>
      <x:c r="R79" s="85" t="str">
        <x:v>operational</x:v>
      </x:c>
      <x:c r="S79" s="85" t="str">
        <x:v>operational</x:v>
      </x:c>
      <x:c r="T79" s="85" t="str">
        <x:v>interconnection_facility</x:v>
      </x:c>
      <x:c r="U79" s="85"/>
      <x:c r="V79" s="85"/>
      <x:c r="W79" s="85"/>
      <x:c r="X79" s="85"/>
      <x:c r="Y79" s="85"/>
      <x:c r="Z79" s="85"/>
      <x:c r="AA79" s="85"/>
      <x:c r="AB79" s="85"/>
      <x:c r="AC79" s="85"/>
      <x:c r="AD79" s="85"/>
      <x:c r="AE79" s="85"/>
      <x:c r="AF79" s="85"/>
      <x:c r="AG79" s="85"/>
      <x:c r="AH79" s="85"/>
      <x:c r="AI79" s="85" t="str">
        <x:v>2026-09-03</x:v>
      </x:c>
      <x:c r="AJ79" s="85" t="str">
        <x:v>https://www.wsmv.com/2026/06/04/how-many-data-centers-are-there-nashville-heres-map-where-theyre-located/</x:v>
      </x:c>
      <x:c r="AK79" s="85"/>
      <x:c r="AL79" s="85" t="str">
        <x:v>https://www.wsmv.com/2026/06/04/how-many-data-centers-are-there-nashville-heres-map-where-theyre-located/</x:v>
      </x:c>
      <x:c r="AM79" s="85" t="str">
        <x:v>Independent list reports 2990 Sidco; Master's 2992 address retained pending review.</x:v>
      </x:c>
      <x:c r="AN79" s="85" t="str">
        <x:v>core_data_center</x:v>
      </x:c>
      <x:c r="AO79" s="86" t="b">
        <x:v>1</x:v>
      </x:c>
      <x:c r="AP79" s="85" t="str">
        <x:v>Lumen</x:v>
      </x:c>
      <x:c r="AQ79" s="85" t="str">
        <x:v>lumen nashville 1</x:v>
      </x:c>
      <x:c r="AR79" s="85" t="str">
        <x:v>2990 sidco drive</x:v>
      </x:c>
    </x:row>
    <x:row r="80">
      <x:c r="A80" s="85" t="str">
        <x:v>scipio_official</x:v>
      </x:c>
      <x:c r="B80" s="85" t="str">
        <x:v>scipio:nashville</x:v>
      </x:c>
      <x:c r="C80" s="85" t="str">
        <x:v>Scipio Technologies Nashville</x:v>
      </x:c>
      <x:c r="D80" s="85"/>
      <x:c r="E80" s="85" t="str">
        <x:v>Scipio Technologies</x:v>
      </x:c>
      <x:c r="F80" s="85"/>
      <x:c r="G80" s="85" t="str">
        <x:v>1661 Murfreesboro Pike</x:v>
      </x:c>
      <x:c r="H80" s="85"/>
      <x:c r="I80" s="85" t="str">
        <x:v>Nashville</x:v>
      </x:c>
      <x:c r="J80" s="85" t="str">
        <x:v>Davidson</x:v>
      </x:c>
      <x:c r="K80" s="85" t="str">
        <x:v>TN</x:v>
      </x:c>
      <x:c r="L80" s="85" t="str">
        <x:v>37217</x:v>
      </x:c>
      <x:c r="M80" s="85"/>
      <x:c r="N80" s="85"/>
      <x:c r="O80" s="85" t="str">
        <x:v>address_or_site</x:v>
      </x:c>
      <x:c r="P80" s="85" t="str">
        <x:v>high</x:v>
      </x:c>
      <x:c r="Q80" s="85" t="str">
        <x:v>Public verification source; Master coordinate retained rather than inferred.</x:v>
      </x:c>
      <x:c r="R80" s="85" t="str">
        <x:v>operational</x:v>
      </x:c>
      <x:c r="S80" s="85" t="str">
        <x:v>operational</x:v>
      </x:c>
      <x:c r="T80" s="85" t="str">
        <x:v>interconnection_facility</x:v>
      </x:c>
      <x:c r="U80" s="85"/>
      <x:c r="V80" s="85"/>
      <x:c r="W80" s="85"/>
      <x:c r="X80" s="85"/>
      <x:c r="Y80" s="85"/>
      <x:c r="Z80" s="85"/>
      <x:c r="AA80" s="85"/>
      <x:c r="AB80" s="85"/>
      <x:c r="AC80" s="85"/>
      <x:c r="AD80" s="85"/>
      <x:c r="AE80" s="85"/>
      <x:c r="AF80" s="85"/>
      <x:c r="AG80" s="85"/>
      <x:c r="AH80" s="85"/>
      <x:c r="AI80" s="85" t="str">
        <x:v>2026-09-03</x:v>
      </x:c>
      <x:c r="AJ80" s="85" t="str">
        <x:v>https://scipiotech.com/support/</x:v>
      </x:c>
      <x:c r="AK80" s="85"/>
      <x:c r="AL80" s="85" t="str">
        <x:v>https://scipiotech.com/support/</x:v>
      </x:c>
      <x:c r="AM80" s="85" t="str">
        <x:v>Official Scipio location verifies legacy Peace/Nexus site.</x:v>
      </x:c>
      <x:c r="AN80" s="85" t="str">
        <x:v>core_data_center</x:v>
      </x:c>
      <x:c r="AO80" s="86" t="b">
        <x:v>1</x:v>
      </x:c>
      <x:c r="AP80" s="85" t="str">
        <x:v>Scipio Technologies</x:v>
      </x:c>
      <x:c r="AQ80" s="85" t="str">
        <x:v>scipio technologies nashville</x:v>
      </x:c>
      <x:c r="AR80" s="85" t="str">
        <x:v>1661 murfreesboro pike</x:v>
      </x:c>
    </x:row>
    <x:row r="81">
      <x:c r="A81" s="85" t="str">
        <x:v>fisk_official</x:v>
      </x:c>
      <x:c r="B81" s="85" t="str">
        <x:v>fisk:quantum-leap</x:v>
      </x:c>
      <x:c r="C81" s="85" t="str">
        <x:v>Quantum Leap Innovation &amp; Technology Center</x:v>
      </x:c>
      <x:c r="D81" s="85"/>
      <x:c r="E81" s="85"/>
      <x:c r="F81" s="85"/>
      <x:c r="G81" s="85" t="str">
        <x:v>1000 17th Ave N</x:v>
      </x:c>
      <x:c r="H81" s="85"/>
      <x:c r="I81" s="85" t="str">
        <x:v>Nashville</x:v>
      </x:c>
      <x:c r="J81" s="85" t="str">
        <x:v>Davidson</x:v>
      </x:c>
      <x:c r="K81" s="85" t="str">
        <x:v>TN</x:v>
      </x:c>
      <x:c r="L81" s="85" t="str">
        <x:v>37208</x:v>
      </x:c>
      <x:c r="M81" s="85"/>
      <x:c r="N81" s="85"/>
      <x:c r="O81" s="85" t="str">
        <x:v>address_or_site</x:v>
      </x:c>
      <x:c r="P81" s="85" t="str">
        <x:v>high</x:v>
      </x:c>
      <x:c r="Q81" s="85" t="str">
        <x:v>Public verification source; Master coordinate retained rather than inferred.</x:v>
      </x:c>
      <x:c r="R81" s="85" t="str">
        <x:v>proposed</x:v>
      </x:c>
      <x:c r="S81" s="85" t="str">
        <x:v>proposed</x:v>
      </x:c>
      <x:c r="T81" s="85" t="str">
        <x:v>data_center</x:v>
      </x:c>
      <x:c r="U81" s="85"/>
      <x:c r="V81" s="85"/>
      <x:c r="W81" s="85"/>
      <x:c r="X81" s="85"/>
      <x:c r="Y81" s="85" t="n">
        <x:v>100000</x:v>
      </x:c>
      <x:c r="Z81" s="85"/>
      <x:c r="AA81" s="85"/>
      <x:c r="AB81" s="85"/>
      <x:c r="AC81" s="85" t="n">
        <x:v>400000000</x:v>
      </x:c>
      <x:c r="AD81" s="85"/>
      <x:c r="AE81" s="85"/>
      <x:c r="AF81" s="85"/>
      <x:c r="AG81" s="85"/>
      <x:c r="AH81" s="85"/>
      <x:c r="AI81" s="85" t="str">
        <x:v>2026-09-03</x:v>
      </x:c>
      <x:c r="AJ81" s="85" t="str">
        <x:v>https://www.fisk.edu/quantumleap/</x:v>
      </x:c>
      <x:c r="AK81" s="85"/>
      <x:c r="AL81" s="85" t="str">
        <x:v>https://www.fisk.edu/quantumleap/</x:v>
      </x:c>
      <x:c r="AM81" s="85" t="str">
        <x:v>Official Fisk project confirms technology center/campus; operating data-center partner not publicly identified.</x:v>
      </x:c>
      <x:c r="AN81" s="85" t="str">
        <x:v>core_data_center</x:v>
      </x:c>
      <x:c r="AO81" s="86" t="b">
        <x:v>1</x:v>
      </x:c>
      <x:c r="AP81" s="85"/>
      <x:c r="AQ81" s="85" t="str">
        <x:v>quantum leap innovation &amp; technology center</x:v>
      </x:c>
      <x:c r="AR81" s="85" t="str">
        <x:v>1000 17th ave n</x:v>
      </x:c>
    </x:row>
    <x:row r="82">
      <x:c r="A82" s="85" t="str">
        <x:v>radiusdc_official</x:v>
      </x:c>
      <x:c r="B82" s="85" t="str">
        <x:v>radiusdc:nashville1-groundbreaking</x:v>
      </x:c>
      <x:c r="C82" s="85" t="str">
        <x:v>RadiusDC Nashville I</x:v>
      </x:c>
      <x:c r="D82" s="85"/>
      <x:c r="E82" s="85" t="str">
        <x:v>RadiusDC</x:v>
      </x:c>
      <x:c r="F82" s="85"/>
      <x:c r="G82" s="85" t="str">
        <x:v>2902 Brick Church Pike</x:v>
      </x:c>
      <x:c r="H82" s="85"/>
      <x:c r="I82" s="85" t="str">
        <x:v>Nashville</x:v>
      </x:c>
      <x:c r="J82" s="85" t="str">
        <x:v>Davidson</x:v>
      </x:c>
      <x:c r="K82" s="85" t="str">
        <x:v>TN</x:v>
      </x:c>
      <x:c r="L82" s="85" t="str">
        <x:v>37207</x:v>
      </x:c>
      <x:c r="M82" s="85"/>
      <x:c r="N82" s="85"/>
      <x:c r="O82" s="85" t="str">
        <x:v>address_or_site</x:v>
      </x:c>
      <x:c r="P82" s="85" t="str">
        <x:v>high</x:v>
      </x:c>
      <x:c r="Q82" s="85" t="str">
        <x:v>Public verification source; Master coordinate retained rather than inferred.</x:v>
      </x:c>
      <x:c r="R82" s="85" t="str">
        <x:v>under_construction</x:v>
      </x:c>
      <x:c r="S82" s="85" t="str">
        <x:v>under_construction</x:v>
      </x:c>
      <x:c r="T82" s="85" t="str">
        <x:v>data_center</x:v>
      </x:c>
      <x:c r="U82" s="85"/>
      <x:c r="V82" s="85" t="n">
        <x:v>12</x:v>
      </x:c>
      <x:c r="W82" s="85"/>
      <x:c r="X82" s="85"/>
      <x:c r="Y82" s="85" t="n">
        <x:v>102500</x:v>
      </x:c>
      <x:c r="Z82" s="85" t="n">
        <x:v>12</x:v>
      </x:c>
      <x:c r="AA82" s="85"/>
      <x:c r="AB82" s="85"/>
      <x:c r="AC82" s="85"/>
      <x:c r="AD82" s="85"/>
      <x:c r="AE82" s="85"/>
      <x:c r="AF82" s="85"/>
      <x:c r="AG82" s="85"/>
      <x:c r="AH82" s="85"/>
      <x:c r="AI82" s="85" t="str">
        <x:v>2026-09-03</x:v>
      </x:c>
      <x:c r="AJ82" s="85" t="str">
        <x:v>https://www.radius-dc.com/newsroom-and-events/radiusdc-breaks-ground-on-largest-data-center-in-nashville</x:v>
      </x:c>
      <x:c r="AK82" s="85"/>
      <x:c r="AL82" s="85" t="str">
        <x:v>https://www.radius-dc.com/newsroom-and-events/radiusdc-breaks-ground-on-largest-data-center-in-nashville</x:v>
      </x:c>
      <x:c r="AM82" s="85" t="str">
        <x:v>Official groundbreaking evidence; independent listing confirms address.</x:v>
      </x:c>
      <x:c r="AN82" s="85" t="str">
        <x:v>core_data_center</x:v>
      </x:c>
      <x:c r="AO82" s="86" t="b">
        <x:v>1</x:v>
      </x:c>
      <x:c r="AP82" s="85" t="str">
        <x:v>RadiusDC</x:v>
      </x:c>
      <x:c r="AQ82" s="85" t="str">
        <x:v>radiusdc nashville i</x:v>
      </x:c>
      <x:c r="AR82" s="85" t="str">
        <x:v>2902 brick church pike</x:v>
      </x:c>
    </x:row>
    <x:row r="83">
      <x:c r="A83" s="85" t="str">
        <x:v>datacenterjournal</x:v>
      </x:c>
      <x:c r="B83" s="85" t="str">
        <x:v>dcj:xo-nashville</x:v>
      </x:c>
      <x:c r="C83" s="85" t="str">
        <x:v>XO Nashville</x:v>
      </x:c>
      <x:c r="D83" s="85"/>
      <x:c r="E83" s="85" t="str">
        <x:v>XO</x:v>
      </x:c>
      <x:c r="F83" s="85"/>
      <x:c r="G83" s="85" t="str">
        <x:v>101 Molloy Street</x:v>
      </x:c>
      <x:c r="H83" s="85"/>
      <x:c r="I83" s="85" t="str">
        <x:v>Nashville</x:v>
      </x:c>
      <x:c r="J83" s="85" t="str">
        <x:v>Davidson</x:v>
      </x:c>
      <x:c r="K83" s="85" t="str">
        <x:v>TN</x:v>
      </x:c>
      <x:c r="L83" s="85" t="str">
        <x:v>37201</x:v>
      </x:c>
      <x:c r="M83" s="85"/>
      <x:c r="N83" s="85"/>
      <x:c r="O83" s="85" t="str">
        <x:v>address_or_site</x:v>
      </x:c>
      <x:c r="P83" s="85" t="str">
        <x:v>high</x:v>
      </x:c>
      <x:c r="Q83" s="85" t="str">
        <x:v>Public verification source; Master coordinate retained rather than inferred.</x:v>
      </x:c>
      <x:c r="R83" s="85" t="str">
        <x:v>operational</x:v>
      </x:c>
      <x:c r="S83" s="85" t="str">
        <x:v>operational</x:v>
      </x:c>
      <x:c r="T83" s="85" t="str">
        <x:v>interconnection_facility</x:v>
      </x:c>
      <x:c r="U83" s="85"/>
      <x:c r="V83" s="85"/>
      <x:c r="W83" s="85"/>
      <x:c r="X83" s="85"/>
      <x:c r="Y83" s="85"/>
      <x:c r="Z83" s="85"/>
      <x:c r="AA83" s="85"/>
      <x:c r="AB83" s="85"/>
      <x:c r="AC83" s="85"/>
      <x:c r="AD83" s="85"/>
      <x:c r="AE83" s="85"/>
      <x:c r="AF83" s="85"/>
      <x:c r="AG83" s="85"/>
      <x:c r="AH83" s="85"/>
      <x:c r="AI83" s="85" t="str">
        <x:v>2026-09-03</x:v>
      </x:c>
      <x:c r="AJ83" s="85" t="str">
        <x:v>https://www.datacenterjournal.com/data-centers/tennessee/hendersonville/xo-nashville/</x:v>
      </x:c>
      <x:c r="AK83" s="85"/>
      <x:c r="AL83" s="85" t="str">
        <x:v>https://www.datacenterjournal.com/data-centers/tennessee/hendersonville/xo-nashville/</x:v>
      </x:c>
      <x:c r="AM83" s="85" t="str">
        <x:v>Independent facility listing confirms XO Nashville at 101 Molloy Street.</x:v>
      </x:c>
      <x:c r="AN83" s="85" t="str">
        <x:v>core_data_center</x:v>
      </x:c>
      <x:c r="AO83" s="86" t="b">
        <x:v>1</x:v>
      </x:c>
      <x:c r="AP83" s="85" t="str">
        <x:v>XO</x:v>
      </x:c>
      <x:c r="AQ83" s="85" t="str">
        <x:v>xo nashville</x:v>
      </x:c>
      <x:c r="AR83" s="85" t="str">
        <x:v>101 molloy street</x:v>
      </x:c>
    </x:row>
    <x:row r="84">
      <x:c r="A84" s="85" t="str">
        <x:v>datacentermap</x:v>
      </x:c>
      <x:c r="B84" s="85" t="str">
        <x:v>datacentermap:databank-209-10th</x:v>
      </x:c>
      <x:c r="C84" s="85" t="str">
        <x:v>DataBank - 209 10th Ave South</x:v>
      </x:c>
      <x:c r="D84" s="85"/>
      <x:c r="E84" s="85" t="str">
        <x:v>DataBank</x:v>
      </x:c>
      <x:c r="F84" s="85"/>
      <x:c r="G84" s="85" t="str">
        <x:v>209 10th Ave South</x:v>
      </x:c>
      <x:c r="H84" s="85"/>
      <x:c r="I84" s="85" t="str">
        <x:v>Nashville</x:v>
      </x:c>
      <x:c r="J84" s="85" t="str">
        <x:v>Davidson</x:v>
      </x:c>
      <x:c r="K84" s="85" t="str">
        <x:v>TN</x:v>
      </x:c>
      <x:c r="L84" s="85" t="str">
        <x:v>37203</x:v>
      </x:c>
      <x:c r="M84" s="85"/>
      <x:c r="N84" s="85"/>
      <x:c r="O84" s="85" t="str">
        <x:v>address_or_site</x:v>
      </x:c>
      <x:c r="P84" s="85" t="str">
        <x:v>high</x:v>
      </x:c>
      <x:c r="Q84" s="85" t="str">
        <x:v>Public verification source; Master coordinate retained rather than inferred.</x:v>
      </x:c>
      <x:c r="R84" s="85" t="str">
        <x:v>operational</x:v>
      </x:c>
      <x:c r="S84" s="85" t="str">
        <x:v>operational</x:v>
      </x:c>
      <x:c r="T84" s="85" t="str">
        <x:v>interconnection_facility</x:v>
      </x:c>
      <x:c r="U84" s="85"/>
      <x:c r="V84" s="85"/>
      <x:c r="W84" s="85"/>
      <x:c r="X84" s="85"/>
      <x:c r="Y84" s="85"/>
      <x:c r="Z84" s="85"/>
      <x:c r="AA84" s="85"/>
      <x:c r="AB84" s="85"/>
      <x:c r="AC84" s="85"/>
      <x:c r="AD84" s="85"/>
      <x:c r="AE84" s="85"/>
      <x:c r="AF84" s="85"/>
      <x:c r="AG84" s="85"/>
      <x:c r="AH84" s="85"/>
      <x:c r="AI84" s="85" t="str">
        <x:v>2026-09-03</x:v>
      </x:c>
      <x:c r="AJ84" s="85" t="str">
        <x:v>https://www.datacentermap.com/usa/tennessee/nashville/zcolo-209-10th-ave-south/</x:v>
      </x:c>
      <x:c r="AK84" s="85"/>
      <x:c r="AL84" s="85" t="str">
        <x:v>https://www.datacentermap.com/usa/tennessee/nashville/zcolo-209-10th-ave-south/</x:v>
      </x:c>
      <x:c r="AM84" s="85" t="str">
        <x:v>DataCenterMap documents DataBank acquisition of Zayo/zColo data-center assets in 2020.</x:v>
      </x:c>
      <x:c r="AN84" s="85" t="str">
        <x:v>core_data_center</x:v>
      </x:c>
      <x:c r="AO84" s="86" t="b">
        <x:v>1</x:v>
      </x:c>
      <x:c r="AP84" s="85" t="str">
        <x:v>DataBank</x:v>
      </x:c>
      <x:c r="AQ84" s="85" t="str">
        <x:v>databank - 209 10th ave south</x:v>
      </x:c>
      <x:c r="AR84" s="85" t="str">
        <x:v>209 10th ave south</x:v>
      </x:c>
    </x:row>
  </x:sheetData>
  <x:dataValidations count="7">
    <x:dataValidation type="list" sqref="K2:K5000">
      <x:formula1>"TN"</x:formula1>
    </x:dataValidation>
    <x:dataValidation type="decimal" operator="between" sqref="M2:M5000">
      <x:formula1>-90</x:formula1>
      <x:formula2>90</x:formula2>
    </x:dataValidation>
    <x:dataValidation type="decimal" operator="between" sqref="N2:N5000">
      <x:formula1>-180</x:formula1>
      <x:formula2>180</x:formula2>
    </x:dataValidation>
    <x:dataValidation type="list" sqref="O2:O5000">
      <x:formula1>"exact,address_or_site,approximate_site,approximate,area_or_city"</x:formula1>
    </x:dataValidation>
    <x:dataValidation type="list" sqref="S2:S5000">
      <x:formula1>"operational,under_construction,proposed,expanding,cancelled,suspended,decommissioned"</x:formula1>
    </x:dataValidation>
    <x:dataValidation type="list" sqref="T2:T5000">
      <x:formula1>"data_center,interconnection_facility,crypto_mining,power_generation,support_infrastructure"</x:formula1>
    </x:dataValidation>
    <x:dataValidation type="list" sqref="AO2:AO50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2a79391da3436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44" hidden="0" customWidth="1"/>
    <x:col min="3" max="3" width="45" hidden="0" customWidth="1"/>
    <x:col min="4" max="4" width="45" hidden="0" customWidth="1"/>
    <x:col min="5" max="5" width="34" hidden="0" customWidth="1"/>
    <x:col min="6" max="6" width="34" hidden="0" customWidth="1"/>
    <x:col min="7" max="7" width="17" hidden="0" customWidth="1"/>
    <x:col min="8" max="8" width="17" hidden="0" customWidth="1"/>
    <x:col min="9" max="9" width="15" hidden="0" customWidth="1"/>
    <x:col min="10" max="10" width="17" hidden="0" customWidth="1"/>
    <x:col min="11" max="11" width="34" hidden="0" customWidth="1"/>
    <x:col min="12" max="12" width="17" hidden="0" customWidth="1"/>
    <x:col min="13" max="13" width="17" hidden="0" customWidth="1"/>
    <x:col min="14" max="14" width="60" hidden="0" customWidth="1"/>
    <x:col min="15" max="15" width="18" hidden="0" customWidth="1"/>
    <x:col min="16" max="16" width="60" hidden="0" customWidth="1"/>
  </x:cols>
  <x:sheetData>
    <x:row r="1" ht="32" customHeight="1">
      <x:c r="A1" s="9" t="str">
        <x:v>left_record</x:v>
      </x:c>
      <x:c r="B1" s="10" t="str">
        <x:v>right_record</x:v>
      </x:c>
      <x:c r="C1" s="10" t="str">
        <x:v>left_name</x:v>
      </x:c>
      <x:c r="D1" s="10" t="str">
        <x:v>right_name</x:v>
      </x:c>
      <x:c r="E1" s="10" t="str">
        <x:v>left_operator</x:v>
      </x:c>
      <x:c r="F1" s="10" t="str">
        <x:v>right_operator</x:v>
      </x:c>
      <x:c r="G1" s="10" t="str">
        <x:v>left_city</x:v>
      </x:c>
      <x:c r="H1" s="10" t="str">
        <x:v>right_city</x:v>
      </x:c>
      <x:c r="I1" s="10" t="str">
        <x:v>distance_km</x:v>
      </x:c>
      <x:c r="J1" s="10" t="str">
        <x:v>name_similarity</x:v>
      </x:c>
      <x:c r="K1" s="10" t="str">
        <x:v>operator_similarity</x:v>
      </x:c>
      <x:c r="L1" s="10" t="str">
        <x:v>address_exact</x:v>
      </x:c>
      <x:c r="M1" s="10" t="str">
        <x:v>match_score</x:v>
      </x:c>
      <x:c r="N1" s="10" t="str">
        <x:v>evidence</x:v>
      </x:c>
      <x:c r="O1" s="10" t="str">
        <x:v>decision</x:v>
      </x:c>
      <x:c r="P1" s="11" t="str">
        <x:v>rationale</x:v>
      </x:c>
    </x:row>
    <x:row r="2" ht="32" hidden="0" customHeight="1">
      <x:c r="A2" s="37" t="str">
        <x:v>peeringdb:2958</x:v>
      </x:c>
      <x:c r="B2" s="22" t="str">
        <x:v>compute_atlas:databank-mem1-memphis-tn</x:v>
      </x:c>
      <x:c r="C2" s="22" t="str">
        <x:v>DataBank Memphis (MEM1)</x:v>
      </x:c>
      <x:c r="D2" s="22" t="str">
        <x:v>DataBank MEM1 (Memphis)</x:v>
      </x:c>
      <x:c r="E2" s="22" t="str">
        <x:v>DataBank, Ltd.</x:v>
      </x:c>
      <x:c r="F2" s="22" t="str">
        <x:v>DataBank</x:v>
      </x:c>
      <x:c r="G2" s="14" t="str">
        <x:v>Memphis</x:v>
      </x:c>
      <x:c r="H2" s="14" t="str">
        <x:v>Memphis</x:v>
      </x:c>
      <x:c r="I2" s="31" t="str">
        <x:v>0.1188</x:v>
      </x:c>
      <x:c r="J2" s="31" t="str">
        <x:v>1.0</x:v>
      </x:c>
      <x:c r="K2" s="40" t="str">
        <x:v>1.0</x:v>
      </x:c>
      <x:c r="L2" s="14" t="str">
        <x:v>False</x:v>
      </x:c>
      <x:c r="M2" s="31" t="str">
        <x:v>0.8</x:v>
      </x:c>
      <x:c r="N2" s="22" t="str">
        <x:v>distance_le_0.5km | same_operator | similar_name | same_city_or_county</x:v>
      </x:c>
      <x:c r="O2" s="14" t="str">
        <x:v>auto_merge</x:v>
      </x:c>
      <x:c r="P2" s="43" t="str"/>
    </x:row>
    <x:row r="3" ht="32" hidden="0" customHeight="1">
      <x:c r="A3" s="38" t="str">
        <x:v>peeringdb:312</x:v>
      </x:c>
      <x:c r="B3" s="23" t="str">
        <x:v>peeringdb:3925</x:v>
      </x:c>
      <x:c r="C3" s="23" t="str">
        <x:v>IRIS - Nashville</x:v>
      </x:c>
      <x:c r="D3" s="23" t="str">
        <x:v>H5 Data Centers Nashville (TN01)</x:v>
      </x:c>
      <x:c r="E3" s="23" t="str">
        <x:v>IRIS</x:v>
      </x:c>
      <x:c r="F3" s="23" t="str">
        <x:v>H5 Data Centers</x:v>
      </x:c>
      <x:c r="G3" s="17" t="str">
        <x:v>Nashville</x:v>
      </x:c>
      <x:c r="H3" s="17" t="str">
        <x:v>Nashville</x:v>
      </x:c>
      <x:c r="I3" s="32" t="str">
        <x:v>0.0</x:v>
      </x:c>
      <x:c r="J3" s="32" t="str">
        <x:v>0.5455</x:v>
      </x:c>
      <x:c r="K3" s="41" t="str">
        <x:v>0.2105</x:v>
      </x:c>
      <x:c r="L3" s="17" t="str">
        <x:v>True</x:v>
      </x:c>
      <x:c r="M3" s="32" t="str">
        <x:v>0.97</x:v>
      </x:c>
      <x:c r="N3" s="23" t="str">
        <x:v>same_normalized_address | distance_le_0.08km | partly_similar_name | same_city_or_county</x:v>
      </x:c>
      <x:c r="O3" s="17" t="str">
        <x:v>auto_merge</x:v>
      </x:c>
      <x:c r="P3" s="44" t="str"/>
    </x:row>
    <x:row r="4" ht="32" hidden="0" customHeight="1">
      <x:c r="A4" s="38" t="str">
        <x:v>peeringdb:4374</x:v>
      </x:c>
      <x:c r="B4" s="23" t="str">
        <x:v>compute_atlas:tierpoint-nashville-tn</x:v>
      </x:c>
      <x:c r="C4" s="23" t="str">
        <x:v>TierPoint Nashville</x:v>
      </x:c>
      <x:c r="D4" s="23" t="str">
        <x:v>TierPoint Nashville</x:v>
      </x:c>
      <x:c r="E4" s="23" t="str">
        <x:v>TierPoint, LLC</x:v>
      </x:c>
      <x:c r="F4" s="23" t="str">
        <x:v>TierPoint</x:v>
      </x:c>
      <x:c r="G4" s="17" t="str">
        <x:v>Franklin</x:v>
      </x:c>
      <x:c r="H4" s="17" t="str">
        <x:v>Franklin</x:v>
      </x:c>
      <x:c r="I4" s="32" t="str">
        <x:v>0.014</x:v>
      </x:c>
      <x:c r="J4" s="32" t="str">
        <x:v>1.0</x:v>
      </x:c>
      <x:c r="K4" s="41" t="str">
        <x:v>1.0</x:v>
      </x:c>
      <x:c r="L4" s="17" t="str">
        <x:v>False</x:v>
      </x:c>
      <x:c r="M4" s="32" t="str">
        <x:v>0.9</x:v>
      </x:c>
      <x:c r="N4" s="23" t="str">
        <x:v>distance_le_0.08km | same_operator | similar_name | same_city_or_county</x:v>
      </x:c>
      <x:c r="O4" s="17" t="str">
        <x:v>auto_merge</x:v>
      </x:c>
      <x:c r="P4" s="44" t="str"/>
    </x:row>
    <x:row r="5" ht="32" hidden="0" customHeight="1">
      <x:c r="A5" s="38" t="str">
        <x:v>peeringdb:5003</x:v>
      </x:c>
      <x:c r="B5" s="23" t="str">
        <x:v>compute_atlas:flexential-nashville-brentwood-nas01-04-tn</x:v>
      </x:c>
      <x:c r="C5" s="23" t="str">
        <x:v>Flexential - Nashville/Brentwood (NAS01/04)</x:v>
      </x:c>
      <x:c r="D5" s="23" t="str">
        <x:v>Flexential Nashville - Brentwood (NAS01/04)</x:v>
      </x:c>
      <x:c r="E5" s="23" t="str">
        <x:v>Flexential Corp.</x:v>
      </x:c>
      <x:c r="F5" s="23" t="str">
        <x:v>Flexential</x:v>
      </x:c>
      <x:c r="G5" s="17" t="str">
        <x:v>Brentwood</x:v>
      </x:c>
      <x:c r="H5" s="17" t="str">
        <x:v>Brentwood</x:v>
      </x:c>
      <x:c r="I5" s="32" t="str">
        <x:v>0.0383</x:v>
      </x:c>
      <x:c r="J5" s="32" t="str">
        <x:v>1.0</x:v>
      </x:c>
      <x:c r="K5" s="41" t="str">
        <x:v>1.0</x:v>
      </x:c>
      <x:c r="L5" s="17" t="str">
        <x:v>True</x:v>
      </x:c>
      <x:c r="M5" s="32" t="str">
        <x:v>1.0</x:v>
      </x:c>
      <x:c r="N5" s="23" t="str">
        <x:v>same_normalized_address | distance_le_0.08km | same_operator | similar_name | same_city_or_county</x:v>
      </x:c>
      <x:c r="O5" s="17" t="str">
        <x:v>auto_merge</x:v>
      </x:c>
      <x:c r="P5" s="44" t="str"/>
    </x:row>
    <x:row r="6" ht="32" hidden="0" customHeight="1">
      <x:c r="A6" s="38" t="str">
        <x:v>peeringdb:5004</x:v>
      </x:c>
      <x:c r="B6" s="23" t="str">
        <x:v>compute_atlas:flexential-nashville-cool-springs-tn</x:v>
      </x:c>
      <x:c r="C6" s="23" t="str">
        <x:v>Flexential - Nashville/Cool Springs (NAS02/03)</x:v>
      </x:c>
      <x:c r="D6" s="23" t="str">
        <x:v>Flexential Nashville - Cool Springs</x:v>
      </x:c>
      <x:c r="E6" s="23" t="str">
        <x:v>Flexential Corp.</x:v>
      </x:c>
      <x:c r="F6" s="23" t="str">
        <x:v>Flexential</x:v>
      </x:c>
      <x:c r="G6" s="17" t="str">
        <x:v>Franklin</x:v>
      </x:c>
      <x:c r="H6" s="17" t="str">
        <x:v>Franklin</x:v>
      </x:c>
      <x:c r="I6" s="32" t="str">
        <x:v>0.0149</x:v>
      </x:c>
      <x:c r="J6" s="32" t="str">
        <x:v>0.88</x:v>
      </x:c>
      <x:c r="K6" s="41" t="str">
        <x:v>1.0</x:v>
      </x:c>
      <x:c r="L6" s="17" t="str">
        <x:v>True</x:v>
      </x:c>
      <x:c r="M6" s="32" t="str">
        <x:v>1.0</x:v>
      </x:c>
      <x:c r="N6" s="23" t="str">
        <x:v>same_normalized_address | distance_le_0.08km | same_operator | similar_name | same_city_or_county</x:v>
      </x:c>
      <x:c r="O6" s="17" t="str">
        <x:v>auto_merge</x:v>
      </x:c>
      <x:c r="P6" s="44" t="str"/>
    </x:row>
    <x:row r="7" ht="32" hidden="0" customHeight="1">
      <x:c r="A7" s="38" t="str">
        <x:v>peeringdb:5005</x:v>
      </x:c>
      <x:c r="B7" s="23" t="str">
        <x:v>compute_atlas:flexential-nashville-franklin-tn</x:v>
      </x:c>
      <x:c r="C7" s="23" t="str">
        <x:v>Flexential - Nashville/Franklin (NAS05/06)</x:v>
      </x:c>
      <x:c r="D7" s="23" t="str">
        <x:v>Flexential Nashville - Franklin</x:v>
      </x:c>
      <x:c r="E7" s="23" t="str">
        <x:v>Flexential Corp.</x:v>
      </x:c>
      <x:c r="F7" s="23" t="str">
        <x:v>Flexential</x:v>
      </x:c>
      <x:c r="G7" s="17" t="str">
        <x:v>Franklin</x:v>
      </x:c>
      <x:c r="H7" s="17" t="str">
        <x:v>Franklin</x:v>
      </x:c>
      <x:c r="I7" s="32" t="str">
        <x:v>0.0171</x:v>
      </x:c>
      <x:c r="J7" s="32" t="str">
        <x:v>0.8657</x:v>
      </x:c>
      <x:c r="K7" s="41" t="str">
        <x:v>1.0</x:v>
      </x:c>
      <x:c r="L7" s="17" t="str">
        <x:v>True</x:v>
      </x:c>
      <x:c r="M7" s="32" t="str">
        <x:v>1.0</x:v>
      </x:c>
      <x:c r="N7" s="23" t="str">
        <x:v>same_normalized_address | distance_le_0.08km | same_operator | similar_name | same_city_or_county</x:v>
      </x:c>
      <x:c r="O7" s="17" t="str">
        <x:v>auto_merge</x:v>
      </x:c>
      <x:c r="P7" s="44" t="str"/>
    </x:row>
    <x:row r="8" ht="32" hidden="0" customHeight="1">
      <x:c r="A8" s="38" t="str">
        <x:v>peeringdb:561</x:v>
      </x:c>
      <x:c r="B8" s="23" t="str">
        <x:v>fractracker:1772678598263-1520</x:v>
      </x:c>
      <x:c r="C8" s="23" t="str">
        <x:v>H5 Data Centers Nashville</x:v>
      </x:c>
      <x:c r="D8" s="23" t="str">
        <x:v>H5 Data Center</x:v>
      </x:c>
      <x:c r="E8" s="23" t="str">
        <x:v>H5 Data Centers</x:v>
      </x:c>
      <x:c r="F8" s="23" t="str"/>
      <x:c r="G8" s="17" t="str">
        <x:v>Nashville</x:v>
      </x:c>
      <x:c r="H8" s="17" t="str">
        <x:v>Nashville</x:v>
      </x:c>
      <x:c r="I8" s="32" t="str">
        <x:v>0.0197</x:v>
      </x:c>
      <x:c r="J8" s="32" t="str">
        <x:v>0.7179</x:v>
      </x:c>
      <x:c r="K8" s="41" t="str">
        <x:v>0.0</x:v>
      </x:c>
      <x:c r="L8" s="17" t="str">
        <x:v>True</x:v>
      </x:c>
      <x:c r="M8" s="32" t="str">
        <x:v>1.0</x:v>
      </x:c>
      <x:c r="N8" s="23" t="str">
        <x:v>same_normalized_address | distance_le_0.08km | similar_name | same_city_or_county</x:v>
      </x:c>
      <x:c r="O8" s="17" t="str">
        <x:v>auto_merge</x:v>
      </x:c>
      <x:c r="P8" s="44" t="str"/>
    </x:row>
    <x:row r="9" ht="32" hidden="0" customHeight="1">
      <x:c r="A9" s="38" t="str">
        <x:v>peeringdb:7217</x:v>
      </x:c>
      <x:c r="B9" s="23" t="str">
        <x:v>fractracker:493</x:v>
      </x:c>
      <x:c r="C9" s="23" t="str">
        <x:v>DC BLOX CHA1 - DCBLOX Chattanooga</x:v>
      </x:c>
      <x:c r="D9" s="23" t="str">
        <x:v>DC Blox</x:v>
      </x:c>
      <x:c r="E9" s="23" t="str">
        <x:v>DC BLOX Parent LLC</x:v>
      </x:c>
      <x:c r="F9" s="23" t="str"/>
      <x:c r="G9" s="17" t="str">
        <x:v>Chattanooga</x:v>
      </x:c>
      <x:c r="H9" s="17" t="str">
        <x:v>Chattanooga</x:v>
      </x:c>
      <x:c r="I9" s="32" t="str">
        <x:v>0.0035</x:v>
      </x:c>
      <x:c r="J9" s="32" t="str">
        <x:v>0.4</x:v>
      </x:c>
      <x:c r="K9" s="41" t="str">
        <x:v>0.0</x:v>
      </x:c>
      <x:c r="L9" s="17" t="str">
        <x:v>True</x:v>
      </x:c>
      <x:c r="M9" s="32" t="str">
        <x:v>0.97</x:v>
      </x:c>
      <x:c r="N9" s="23" t="str">
        <x:v>same_normalized_address | distance_le_0.08km | partly_similar_name | same_city_or_county</x:v>
      </x:c>
      <x:c r="O9" s="17" t="str">
        <x:v>auto_merge</x:v>
      </x:c>
      <x:c r="P9" s="44" t="str"/>
    </x:row>
    <x:row r="10" ht="32" hidden="0" customHeight="1">
      <x:c r="A10" s="38" t="str">
        <x:v>compute_atlas:centersquare-gallatin-tn</x:v>
      </x:c>
      <x:c r="B10" s="23" t="str">
        <x:v>compute_atlas:meta-gallatin-tn</x:v>
      </x:c>
      <x:c r="C10" s="23" t="str">
        <x:v>Centersquare Gallatin (NAS) Campus</x:v>
      </x:c>
      <x:c r="D10" s="23" t="str">
        <x:v>Meta Gallatin Data Center Campus</x:v>
      </x:c>
      <x:c r="E10" s="23" t="str">
        <x:v>Centersquare</x:v>
      </x:c>
      <x:c r="F10" s="23" t="str">
        <x:v>Meta</x:v>
      </x:c>
      <x:c r="G10" s="17" t="str">
        <x:v>Gallatin</x:v>
      </x:c>
      <x:c r="H10" s="17" t="str">
        <x:v>Gallatin</x:v>
      </x:c>
      <x:c r="I10" s="32" t="str">
        <x:v>3.8833</x:v>
      </x:c>
      <x:c r="J10" s="32" t="str">
        <x:v>0.6562</x:v>
      </x:c>
      <x:c r="K10" s="41" t="str">
        <x:v>0.375</x:v>
      </x:c>
      <x:c r="L10" s="17" t="str">
        <x:v>False</x:v>
      </x:c>
      <x:c r="M10" s="32" t="str">
        <x:v>0.3</x:v>
      </x:c>
      <x:c r="N10" s="23" t="str">
        <x:v>similar_name | same_city_or_county</x:v>
      </x:c>
      <x:c r="O10" s="17" t="str">
        <x:v>curated_keep_separate</x:v>
      </x:c>
      <x:c r="P10" s="44" t="str">
        <x:v>Different operators and distinct Gallatin campuses.</x:v>
      </x:c>
    </x:row>
    <x:row r="11" ht="32" hidden="0" customHeight="1">
      <x:c r="A11" s="38" t="str">
        <x:v>compute_atlas:cielo-clarksville-tn</x:v>
      </x:c>
      <x:c r="B11" s="23" t="str">
        <x:v>compute_atlas:google-montgomery-county-tn</x:v>
      </x:c>
      <x:c r="C11" s="23" t="str">
        <x:v>Cielo Montgomery County AI Campus</x:v>
      </x:c>
      <x:c r="D11" s="23" t="str">
        <x:v>Google Montgomery County Data Center</x:v>
      </x:c>
      <x:c r="E11" s="23" t="str">
        <x:v>Cielo Digital Infrastructure</x:v>
      </x:c>
      <x:c r="F11" s="23" t="str">
        <x:v>Google</x:v>
      </x:c>
      <x:c r="G11" s="17" t="str">
        <x:v>Clarksville</x:v>
      </x:c>
      <x:c r="H11" s="17" t="str">
        <x:v>Clarksville</x:v>
      </x:c>
      <x:c r="I11" s="32" t="str">
        <x:v>0.3482</x:v>
      </x:c>
      <x:c r="J11" s="32" t="str">
        <x:v>0.6667</x:v>
      </x:c>
      <x:c r="K11" s="41" t="str">
        <x:v>0.0588</x:v>
      </x:c>
      <x:c r="L11" s="17" t="str">
        <x:v>False</x:v>
      </x:c>
      <x:c r="M11" s="32" t="str">
        <x:v>0.55</x:v>
      </x:c>
      <x:c r="N11" s="23" t="str">
        <x:v>distance_le_0.5km | similar_name | same_city_or_county</x:v>
      </x:c>
      <x:c r="O11" s="17" t="str">
        <x:v>curated_keep_separate</x:v>
      </x:c>
      <x:c r="P11" s="44" t="str">
        <x:v>Different operators and separately named projects despite nearby coordinates.</x:v>
      </x:c>
    </x:row>
    <x:row r="12" ht="32" hidden="0" customHeight="1">
      <x:c r="A12" s="38" t="str">
        <x:v>compute_atlas:cleanspark-campbell-junction-tn</x:v>
      </x:c>
      <x:c r="B12" s="23" t="str">
        <x:v>compute_atlas:cleanspark-west-crossville-tn</x:v>
      </x:c>
      <x:c r="C12" s="23" t="str">
        <x:v>CleanSpark Campbell Junction Bitcoin Mining Facility</x:v>
      </x:c>
      <x:c r="D12" s="23" t="str">
        <x:v>CleanSpark West Crossville Bitcoin Mining Facility</x:v>
      </x:c>
      <x:c r="E12" s="23" t="str">
        <x:v>CleanSpark, Inc.</x:v>
      </x:c>
      <x:c r="F12" s="23" t="str">
        <x:v>CleanSpark, Inc.</x:v>
      </x:c>
      <x:c r="G12" s="17" t="str">
        <x:v>Campbell Junction</x:v>
      </x:c>
      <x:c r="H12" s="17" t="str">
        <x:v>Crossville</x:v>
      </x:c>
      <x:c r="I12" s="32" t="str">
        <x:v>16.5903</x:v>
      </x:c>
      <x:c r="J12" s="32" t="str">
        <x:v>0.7451</x:v>
      </x:c>
      <x:c r="K12" s="41" t="str">
        <x:v>1.0</x:v>
      </x:c>
      <x:c r="L12" s="17" t="str">
        <x:v>False</x:v>
      </x:c>
      <x:c r="M12" s="32" t="str">
        <x:v>0.55</x:v>
      </x:c>
      <x:c r="N12" s="23" t="str">
        <x:v>same_operator | similar_name | same_city_or_county</x:v>
      </x:c>
      <x:c r="O12" s="17" t="str">
        <x:v>curated_keep_separate</x:v>
      </x:c>
      <x:c r="P12" s="44" t="str">
        <x:v>Distinct CleanSpark locations and facility names.</x:v>
      </x:c>
    </x:row>
    <x:row r="13" ht="32" hidden="0" customHeight="1">
      <x:c r="A13" s="38" t="str">
        <x:v>compute_atlas:cleanspark-oneida-tn</x:v>
      </x:c>
      <x:c r="B13" s="23" t="str">
        <x:v>compute_atlas:cleanspark-winfield-tn</x:v>
      </x:c>
      <x:c r="C13" s="23" t="str">
        <x:v>CleanSpark Oneida Bitcoin Mining Facility</x:v>
      </x:c>
      <x:c r="D13" s="23" t="str">
        <x:v>CleanSpark Winfield Bitcoin Mining Facility</x:v>
      </x:c>
      <x:c r="E13" s="23" t="str">
        <x:v>CleanSpark, Inc.</x:v>
      </x:c>
      <x:c r="F13" s="23" t="str">
        <x:v>CleanSpark, Inc.</x:v>
      </x:c>
      <x:c r="G13" s="17" t="str">
        <x:v>Oneida</x:v>
      </x:c>
      <x:c r="H13" s="17" t="str">
        <x:v>Winfield</x:v>
      </x:c>
      <x:c r="I13" s="32" t="str">
        <x:v>9.0064</x:v>
      </x:c>
      <x:c r="J13" s="32" t="str">
        <x:v>0.9048</x:v>
      </x:c>
      <x:c r="K13" s="41" t="str">
        <x:v>1.0</x:v>
      </x:c>
      <x:c r="L13" s="17" t="str">
        <x:v>False</x:v>
      </x:c>
      <x:c r="M13" s="32" t="str">
        <x:v>0.55</x:v>
      </x:c>
      <x:c r="N13" s="23" t="str">
        <x:v>same_operator | similar_name | same_city_or_county</x:v>
      </x:c>
      <x:c r="O13" s="17" t="str">
        <x:v>curated_keep_separate</x:v>
      </x:c>
      <x:c r="P13" s="44" t="str">
        <x:v>Distinct CleanSpark locations and facility names.</x:v>
      </x:c>
    </x:row>
    <x:row r="14" ht="32" hidden="0" customHeight="1">
      <x:c r="A14" s="38" t="str">
        <x:v>compute_atlas:flexential-nashville-brentwood-nas01-04-tn</x:v>
      </x:c>
      <x:c r="B14" s="23" t="str">
        <x:v>compute_atlas:flexential-nashville-cool-springs-tn</x:v>
      </x:c>
      <x:c r="C14" s="23" t="str">
        <x:v>Flexential Nashville - Brentwood (NAS01/04)</x:v>
      </x:c>
      <x:c r="D14" s="23" t="str">
        <x:v>Flexential Nashville - Cool Springs</x:v>
      </x:c>
      <x:c r="E14" s="23" t="str">
        <x:v>Flexential</x:v>
      </x:c>
      <x:c r="F14" s="23" t="str">
        <x:v>Flexential</x:v>
      </x:c>
      <x:c r="G14" s="17" t="str">
        <x:v>Brentwood</x:v>
      </x:c>
      <x:c r="H14" s="17" t="str">
        <x:v>Franklin</x:v>
      </x:c>
      <x:c r="I14" s="32" t="str">
        <x:v>3.2925</x:v>
      </x:c>
      <x:c r="J14" s="32" t="str">
        <x:v>0.7222</x:v>
      </x:c>
      <x:c r="K14" s="41" t="str">
        <x:v>1.0</x:v>
      </x:c>
      <x:c r="L14" s="17" t="str">
        <x:v>False</x:v>
      </x:c>
      <x:c r="M14" s="32" t="str">
        <x:v>0.55</x:v>
      </x:c>
      <x:c r="N14" s="23" t="str">
        <x:v>same_operator | similar_name | same_city_or_county</x:v>
      </x:c>
      <x:c r="O14" s="17" t="str">
        <x:v>curated_keep_separate</x:v>
      </x:c>
      <x:c r="P14" s="44" t="str">
        <x:v>Different named Flexential facilities and coordinates.</x:v>
      </x:c>
    </x:row>
    <x:row r="15" ht="32" hidden="0" customHeight="1">
      <x:c r="A15" s="38" t="str">
        <x:v>compute_atlas:flexential-nashville-brentwood-nas01-04-tn</x:v>
      </x:c>
      <x:c r="B15" s="23" t="str">
        <x:v>compute_atlas:flexential-nashville-franklin-tn</x:v>
      </x:c>
      <x:c r="C15" s="23" t="str">
        <x:v>Flexential Nashville - Brentwood (NAS01/04)</x:v>
      </x:c>
      <x:c r="D15" s="23" t="str">
        <x:v>Flexential Nashville - Franklin</x:v>
      </x:c>
      <x:c r="E15" s="23" t="str">
        <x:v>Flexential</x:v>
      </x:c>
      <x:c r="F15" s="23" t="str">
        <x:v>Flexential</x:v>
      </x:c>
      <x:c r="G15" s="17" t="str">
        <x:v>Brentwood</x:v>
      </x:c>
      <x:c r="H15" s="17" t="str">
        <x:v>Franklin</x:v>
      </x:c>
      <x:c r="I15" s="32" t="str">
        <x:v>5.851</x:v>
      </x:c>
      <x:c r="J15" s="32" t="str">
        <x:v>0.7059</x:v>
      </x:c>
      <x:c r="K15" s="41" t="str">
        <x:v>1.0</x:v>
      </x:c>
      <x:c r="L15" s="17" t="str">
        <x:v>False</x:v>
      </x:c>
      <x:c r="M15" s="32" t="str">
        <x:v>0.55</x:v>
      </x:c>
      <x:c r="N15" s="23" t="str">
        <x:v>same_operator | similar_name | same_city_or_county</x:v>
      </x:c>
      <x:c r="O15" s="17" t="str">
        <x:v>curated_keep_separate</x:v>
      </x:c>
      <x:c r="P15" s="44" t="str">
        <x:v>Different named Flexential facilities and coordinates.</x:v>
      </x:c>
    </x:row>
    <x:row r="16" ht="32" hidden="0" customHeight="1">
      <x:c r="A16" s="38" t="str">
        <x:v>compute_atlas:flexential-nashville-cool-springs-tn</x:v>
      </x:c>
      <x:c r="B16" s="23" t="str">
        <x:v>compute_atlas:flexential-nashville-franklin-tn</x:v>
      </x:c>
      <x:c r="C16" s="23" t="str">
        <x:v>Flexential Nashville - Cool Springs</x:v>
      </x:c>
      <x:c r="D16" s="23" t="str">
        <x:v>Flexential Nashville - Franklin</x:v>
      </x:c>
      <x:c r="E16" s="23" t="str">
        <x:v>Flexential</x:v>
      </x:c>
      <x:c r="F16" s="23" t="str">
        <x:v>Flexential</x:v>
      </x:c>
      <x:c r="G16" s="17" t="str">
        <x:v>Franklin</x:v>
      </x:c>
      <x:c r="H16" s="17" t="str">
        <x:v>Franklin</x:v>
      </x:c>
      <x:c r="I16" s="32" t="str">
        <x:v>3.7661</x:v>
      </x:c>
      <x:c r="J16" s="32" t="str">
        <x:v>0.7742</x:v>
      </x:c>
      <x:c r="K16" s="41" t="str">
        <x:v>1.0</x:v>
      </x:c>
      <x:c r="L16" s="17" t="str">
        <x:v>False</x:v>
      </x:c>
      <x:c r="M16" s="32" t="str">
        <x:v>0.55</x:v>
      </x:c>
      <x:c r="N16" s="23" t="str">
        <x:v>same_operator | similar_name | same_city_or_county</x:v>
      </x:c>
      <x:c r="O16" s="17" t="str">
        <x:v>curated_keep_separate</x:v>
      </x:c>
      <x:c r="P16" s="44" t="str">
        <x:v>Different named Flexential facilities and coordinates.</x:v>
      </x:c>
    </x:row>
    <x:row r="17" ht="32" hidden="0" customHeight="1">
      <x:c r="A17" s="38" t="str">
        <x:v>fractracker:1780860040054-4476</x:v>
      </x:c>
      <x:c r="B17" s="23" t="str">
        <x:v>fractracker:1772678598263-1520</x:v>
      </x:c>
      <x:c r="C17" s="23" t="str">
        <x:v>DC Blox Data Center</x:v>
      </x:c>
      <x:c r="D17" s="23" t="str">
        <x:v>H5 Data Center</x:v>
      </x:c>
      <x:c r="E17" s="23" t="str"/>
      <x:c r="F17" s="23" t="str"/>
      <x:c r="G17" s="17" t="str">
        <x:v>Nashville</x:v>
      </x:c>
      <x:c r="H17" s="17" t="str">
        <x:v>Nashville</x:v>
      </x:c>
      <x:c r="I17" s="32" t="str">
        <x:v>8.5211</x:v>
      </x:c>
      <x:c r="J17" s="32" t="str">
        <x:v>0.7273</x:v>
      </x:c>
      <x:c r="K17" s="41" t="str">
        <x:v>0.0</x:v>
      </x:c>
      <x:c r="L17" s="17" t="str">
        <x:v>False</x:v>
      </x:c>
      <x:c r="M17" s="32" t="str">
        <x:v>0.3</x:v>
      </x:c>
      <x:c r="N17" s="23" t="str">
        <x:v>similar_name | same_city_or_county</x:v>
      </x:c>
      <x:c r="O17" s="17" t="str">
        <x:v>curated_keep_separate</x:v>
      </x:c>
      <x:c r="P17" s="44" t="str">
        <x:v>DC BLOX Grassmere Park and H5 Fourth Avenue are separately named projects.</x:v>
      </x:c>
    </x:row>
    <x:row r="18" ht="32" hidden="0" customHeight="1">
      <x:c r="A18" s="38" t="str">
        <x:v>fractracker:499</x:v>
      </x:c>
      <x:c r="B18" s="23" t="str">
        <x:v>fractracker:500</x:v>
      </x:c>
      <x:c r="C18" s="23" t="str">
        <x:v>xAI Colossus 1</x:v>
      </x:c>
      <x:c r="D18" s="23" t="str">
        <x:v>xAI Colossus 2</x:v>
      </x:c>
      <x:c r="E18" s="23" t="str">
        <x:v>xAI</x:v>
      </x:c>
      <x:c r="F18" s="23" t="str">
        <x:v>xAI</x:v>
      </x:c>
      <x:c r="G18" s="17" t="str">
        <x:v>Memphis</x:v>
      </x:c>
      <x:c r="H18" s="17" t="str">
        <x:v>Memphis</x:v>
      </x:c>
      <x:c r="I18" s="32" t="str">
        <x:v>12.9923</x:v>
      </x:c>
      <x:c r="J18" s="32" t="str">
        <x:v>0.9286</x:v>
      </x:c>
      <x:c r="K18" s="41" t="str">
        <x:v>1.0</x:v>
      </x:c>
      <x:c r="L18" s="17" t="str">
        <x:v>False</x:v>
      </x:c>
      <x:c r="M18" s="32" t="str">
        <x:v>0.55</x:v>
      </x:c>
      <x:c r="N18" s="23" t="str">
        <x:v>same_operator | similar_name | same_city_or_county</x:v>
      </x:c>
      <x:c r="O18" s="17" t="str">
        <x:v>curated_keep_separate</x:v>
      </x:c>
      <x:c r="P18" s="44" t="str">
        <x:v>FracTracker explicitly identifies Colossus 1 and Colossus 2 as separate facilities.</x:v>
      </x:c>
    </x:row>
    <x:row r="19" ht="32" hidden="0" customHeight="1">
      <x:c r="A19" s="38" t="str">
        <x:v>peeringdb:1983</x:v>
      </x:c>
      <x:c r="B19" s="23" t="str">
        <x:v>peeringdb:2936</x:v>
      </x:c>
      <x:c r="C19" s="23" t="str">
        <x:v>Level(3) Nashville (9th Ave)</x:v>
      </x:c>
      <x:c r="D19" s="23" t="str">
        <x:v>Zayo Nashville - 209 10th Ave. S</x:v>
      </x:c>
      <x:c r="E19" s="23" t="str">
        <x:v>Lumen Technologies Inc</x:v>
      </x:c>
      <x:c r="F19" s="23" t="str">
        <x:v>Zayo Group</x:v>
      </x:c>
      <x:c r="G19" s="17" t="str">
        <x:v>Nashville</x:v>
      </x:c>
      <x:c r="H19" s="17" t="str">
        <x:v>Nashville</x:v>
      </x:c>
      <x:c r="I19" s="32" t="str">
        <x:v>4.2452</x:v>
      </x:c>
      <x:c r="J19" s="32" t="str">
        <x:v>0.6667</x:v>
      </x:c>
      <x:c r="K19" s="41" t="str">
        <x:v>0.0714</x:v>
      </x:c>
      <x:c r="L19" s="17" t="str">
        <x:v>False</x:v>
      </x:c>
      <x:c r="M19" s="32" t="str">
        <x:v>0.3</x:v>
      </x:c>
      <x:c r="N19" s="23" t="str">
        <x:v>similar_name | same_city_or_county</x:v>
      </x:c>
      <x:c r="O19" s="17" t="str">
        <x:v>curated_keep_separate</x:v>
      </x:c>
      <x:c r="P19" s="44" t="str">
        <x:v>Different operators and street addresses.</x:v>
      </x:c>
    </x:row>
    <x:row r="20" ht="32" hidden="0" customHeight="1">
      <x:c r="A20" s="38" t="str">
        <x:v>peeringdb:311</x:v>
      </x:c>
      <x:c r="B20" s="23" t="str">
        <x:v>peeringdb:1983</x:v>
      </x:c>
      <x:c r="C20" s="23" t="str">
        <x:v>Level(3) Nashville (Sidco Drive)</x:v>
      </x:c>
      <x:c r="D20" s="23" t="str">
        <x:v>Level(3) Nashville (9th Ave)</x:v>
      </x:c>
      <x:c r="E20" s="23" t="str">
        <x:v>Lumen Technologies Inc</x:v>
      </x:c>
      <x:c r="F20" s="23" t="str">
        <x:v>Lumen Technologies Inc</x:v>
      </x:c>
      <x:c r="G20" s="17" t="str">
        <x:v>Nashville</x:v>
      </x:c>
      <x:c r="H20" s="17" t="str">
        <x:v>Nashville</x:v>
      </x:c>
      <x:c r="I20" s="32" t="str">
        <x:v>10.544</x:v>
      </x:c>
      <x:c r="J20" s="32" t="str">
        <x:v>0.7778</x:v>
      </x:c>
      <x:c r="K20" s="41" t="str">
        <x:v>1.0</x:v>
      </x:c>
      <x:c r="L20" s="17" t="str">
        <x:v>False</x:v>
      </x:c>
      <x:c r="M20" s="32" t="str">
        <x:v>0.55</x:v>
      </x:c>
      <x:c r="N20" s="23" t="str">
        <x:v>same_operator | similar_name | same_city_or_county</x:v>
      </x:c>
      <x:c r="O20" s="17" t="str">
        <x:v>curated_keep_separate</x:v>
      </x:c>
      <x:c r="P20" s="44" t="str">
        <x:v>Separate Lumen/Level(3) Nashville facilities at Sidco Drive and 9th Avenue.</x:v>
      </x:c>
    </x:row>
    <x:row r="21" ht="32" hidden="0" customHeight="1">
      <x:c r="A21" s="38" t="str">
        <x:v>peeringdb:312</x:v>
      </x:c>
      <x:c r="B21" s="23" t="str">
        <x:v>compute_atlas:radiusdc-nashville-i-tn</x:v>
      </x:c>
      <x:c r="C21" s="23" t="str">
        <x:v>IRIS - Nashville</x:v>
      </x:c>
      <x:c r="D21" s="23" t="str">
        <x:v>RadiusDC Nashville I</x:v>
      </x:c>
      <x:c r="E21" s="23" t="str">
        <x:v>IRIS</x:v>
      </x:c>
      <x:c r="F21" s="23" t="str">
        <x:v>RadiusDC</x:v>
      </x:c>
      <x:c r="G21" s="17" t="str">
        <x:v>Nashville</x:v>
      </x:c>
      <x:c r="H21" s="17" t="str">
        <x:v>Nashville</x:v>
      </x:c>
      <x:c r="I21" s="32" t="str">
        <x:v>13.0543</x:v>
      </x:c>
      <x:c r="J21" s="32" t="str">
        <x:v>0.7059</x:v>
      </x:c>
      <x:c r="K21" s="41" t="str">
        <x:v>0.3333</x:v>
      </x:c>
      <x:c r="L21" s="17" t="str">
        <x:v>False</x:v>
      </x:c>
      <x:c r="M21" s="32" t="str">
        <x:v>0.3</x:v>
      </x:c>
      <x:c r="N21" s="23" t="str">
        <x:v>similar_name | same_city_or_county</x:v>
      </x:c>
      <x:c r="O21" s="17" t="str">
        <x:v>curated_keep_separate</x:v>
      </x:c>
      <x:c r="P21" s="44" t="str">
        <x:v>IRIS Commerce Street and RadiusDC Nashville I are distinct projects.</x:v>
      </x:c>
    </x:row>
    <x:row r="22" ht="32" hidden="0" customHeight="1">
      <x:c r="A22" s="38" t="str">
        <x:v>peeringdb:312</x:v>
      </x:c>
      <x:c r="B22" s="23" t="str">
        <x:v>peeringdb:368</x:v>
      </x:c>
      <x:c r="C22" s="23" t="str">
        <x:v>IRIS - Nashville</x:v>
      </x:c>
      <x:c r="D22" s="23" t="str">
        <x:v>XO Nashville</x:v>
      </x:c>
      <x:c r="E22" s="23" t="str">
        <x:v>IRIS</x:v>
      </x:c>
      <x:c r="F22" s="23" t="str">
        <x:v>XO</x:v>
      </x:c>
      <x:c r="G22" s="17" t="str">
        <x:v>Nashville</x:v>
      </x:c>
      <x:c r="H22" s="17" t="str">
        <x:v>Nashville</x:v>
      </x:c>
      <x:c r="I22" s="32" t="str">
        <x:v>0.5417</x:v>
      </x:c>
      <x:c r="J22" s="32" t="str">
        <x:v>0.7692</x:v>
      </x:c>
      <x:c r="K22" s="41" t="str">
        <x:v>0.0</x:v>
      </x:c>
      <x:c r="L22" s="17" t="str">
        <x:v>False</x:v>
      </x:c>
      <x:c r="M22" s="32" t="str">
        <x:v>0.45</x:v>
      </x:c>
      <x:c r="N22" s="23" t="str">
        <x:v>distance_le_1km | similar_name | same_city_or_county</x:v>
      </x:c>
      <x:c r="O22" s="17" t="str">
        <x:v>curated_keep_separate</x:v>
      </x:c>
      <x:c r="P22" s="44" t="str">
        <x:v>IRIS and XO records have different operators and street addresses.</x:v>
      </x:c>
    </x:row>
    <x:row r="23" ht="32" hidden="0" customHeight="1">
      <x:c r="A23" s="38" t="str">
        <x:v>peeringdb:312</x:v>
      </x:c>
      <x:c r="B23" s="23" t="str">
        <x:v>peeringdb:561</x:v>
      </x:c>
      <x:c r="C23" s="23" t="str">
        <x:v>IRIS - Nashville</x:v>
      </x:c>
      <x:c r="D23" s="23" t="str">
        <x:v>H5 Data Centers Nashville</x:v>
      </x:c>
      <x:c r="E23" s="23" t="str">
        <x:v>IRIS</x:v>
      </x:c>
      <x:c r="F23" s="23" t="str">
        <x:v>H5 Data Centers</x:v>
      </x:c>
      <x:c r="G23" s="17" t="str">
        <x:v>Nashville</x:v>
      </x:c>
      <x:c r="H23" s="17" t="str">
        <x:v>Nashville</x:v>
      </x:c>
      <x:c r="I23" s="32" t="str">
        <x:v>0.2117</x:v>
      </x:c>
      <x:c r="J23" s="32" t="str">
        <x:v>0.6154</x:v>
      </x:c>
      <x:c r="K23" s="41" t="str">
        <x:v>0.2105</x:v>
      </x:c>
      <x:c r="L23" s="17" t="str">
        <x:v>False</x:v>
      </x:c>
      <x:c r="M23" s="32" t="str">
        <x:v>0.42</x:v>
      </x:c>
      <x:c r="N23" s="23" t="str">
        <x:v>distance_le_0.5km | partly_similar_name | same_city_or_county</x:v>
      </x:c>
      <x:c r="O23" s="17" t="str">
        <x:v>curated_keep_separate</x:v>
      </x:c>
      <x:c r="P23" s="44" t="str">
        <x:v>211 Commerce Street and 147 Fourth Avenue are separate physical sites.</x:v>
      </x:c>
    </x:row>
    <x:row r="24" ht="32" hidden="0" customHeight="1">
      <x:c r="A24" s="38" t="str">
        <x:v>peeringdb:368</x:v>
      </x:c>
      <x:c r="B24" s="23" t="str">
        <x:v>peeringdb:2936</x:v>
      </x:c>
      <x:c r="C24" s="23" t="str">
        <x:v>XO Nashville</x:v>
      </x:c>
      <x:c r="D24" s="23" t="str">
        <x:v>Zayo Nashville - 209 10th Ave. S</x:v>
      </x:c>
      <x:c r="E24" s="23" t="str">
        <x:v>XO</x:v>
      </x:c>
      <x:c r="F24" s="23" t="str">
        <x:v>Zayo Group</x:v>
      </x:c>
      <x:c r="G24" s="17" t="str">
        <x:v>Nashville</x:v>
      </x:c>
      <x:c r="H24" s="17" t="str">
        <x:v>Nashville</x:v>
      </x:c>
      <x:c r="I24" s="32" t="str">
        <x:v>0.9898</x:v>
      </x:c>
      <x:c r="J24" s="32" t="str">
        <x:v>0.5366</x:v>
      </x:c>
      <x:c r="K24" s="41" t="str">
        <x:v>0.1667</x:v>
      </x:c>
      <x:c r="L24" s="17" t="str">
        <x:v>False</x:v>
      </x:c>
      <x:c r="M24" s="32" t="str">
        <x:v>0.32</x:v>
      </x:c>
      <x:c r="N24" s="23" t="str">
        <x:v>distance_le_1km | partly_similar_name | same_city_or_county</x:v>
      </x:c>
      <x:c r="O24" s="17" t="str">
        <x:v>curated_keep_separate</x:v>
      </x:c>
      <x:c r="P24" s="44" t="str">
        <x:v>XO Molloy Street and Zayo 10th Avenue are separate facilities.</x:v>
      </x:c>
    </x:row>
    <x:row r="25" ht="32" hidden="0" customHeight="1">
      <x:c r="A25" s="38" t="str">
        <x:v>peeringdb:368</x:v>
      </x:c>
      <x:c r="B25" s="23" t="str">
        <x:v>peeringdb:3925</x:v>
      </x:c>
      <x:c r="C25" s="23" t="str">
        <x:v>XO Nashville</x:v>
      </x:c>
      <x:c r="D25" s="23" t="str">
        <x:v>H5 Data Centers Nashville (TN01)</x:v>
      </x:c>
      <x:c r="E25" s="23" t="str">
        <x:v>XO</x:v>
      </x:c>
      <x:c r="F25" s="23" t="str">
        <x:v>H5 Data Centers</x:v>
      </x:c>
      <x:c r="G25" s="17" t="str">
        <x:v>Nashville</x:v>
      </x:c>
      <x:c r="H25" s="17" t="str">
        <x:v>Nashville</x:v>
      </x:c>
      <x:c r="I25" s="32" t="str">
        <x:v>0.5417</x:v>
      </x:c>
      <x:c r="J25" s="32" t="str">
        <x:v>0.4762</x:v>
      </x:c>
      <x:c r="K25" s="41" t="str">
        <x:v>0.0</x:v>
      </x:c>
      <x:c r="L25" s="17" t="str">
        <x:v>False</x:v>
      </x:c>
      <x:c r="M25" s="32" t="str">
        <x:v>0.32</x:v>
      </x:c>
      <x:c r="N25" s="23" t="str">
        <x:v>distance_le_1km | partly_similar_name | same_city_or_county</x:v>
      </x:c>
      <x:c r="O25" s="17" t="str">
        <x:v>curated_keep_separate</x:v>
      </x:c>
      <x:c r="P25" s="44" t="str">
        <x:v>Different operators and street addresses.</x:v>
      </x:c>
    </x:row>
    <x:row r="26" ht="32" hidden="0" customHeight="1">
      <x:c r="A26" s="38" t="str">
        <x:v>peeringdb:368</x:v>
      </x:c>
      <x:c r="B26" s="23" t="str">
        <x:v>peeringdb:561</x:v>
      </x:c>
      <x:c r="C26" s="23" t="str">
        <x:v>XO Nashville</x:v>
      </x:c>
      <x:c r="D26" s="23" t="str">
        <x:v>H5 Data Centers Nashville</x:v>
      </x:c>
      <x:c r="E26" s="23" t="str">
        <x:v>XO</x:v>
      </x:c>
      <x:c r="F26" s="23" t="str">
        <x:v>H5 Data Centers</x:v>
      </x:c>
      <x:c r="G26" s="17" t="str">
        <x:v>Nashville</x:v>
      </x:c>
      <x:c r="H26" s="17" t="str">
        <x:v>Nashville</x:v>
      </x:c>
      <x:c r="I26" s="32" t="str">
        <x:v>0.6951</x:v>
      </x:c>
      <x:c r="J26" s="32" t="str">
        <x:v>0.5405</x:v>
      </x:c>
      <x:c r="K26" s="41" t="str">
        <x:v>0.0</x:v>
      </x:c>
      <x:c r="L26" s="17" t="str">
        <x:v>False</x:v>
      </x:c>
      <x:c r="M26" s="32" t="str">
        <x:v>0.32</x:v>
      </x:c>
      <x:c r="N26" s="23" t="str">
        <x:v>distance_le_1km | partly_similar_name | same_city_or_county</x:v>
      </x:c>
      <x:c r="O26" s="17" t="str">
        <x:v>curated_keep_separate</x:v>
      </x:c>
      <x:c r="P26" s="44" t="str">
        <x:v>Different operators and street addresses.</x:v>
      </x:c>
    </x:row>
    <x:row r="27" ht="32" hidden="0" customHeight="1">
      <x:c r="A27" s="38" t="str">
        <x:v>peeringdb:3925</x:v>
      </x:c>
      <x:c r="B27" s="23" t="str">
        <x:v>fractracker:1772678598263-1520</x:v>
      </x:c>
      <x:c r="C27" s="23" t="str">
        <x:v>H5 Data Centers Nashville (TN01)</x:v>
      </x:c>
      <x:c r="D27" s="23" t="str">
        <x:v>H5 Data Center</x:v>
      </x:c>
      <x:c r="E27" s="23" t="str">
        <x:v>H5 Data Centers</x:v>
      </x:c>
      <x:c r="F27" s="23" t="str"/>
      <x:c r="G27" s="17" t="str">
        <x:v>Nashville</x:v>
      </x:c>
      <x:c r="H27" s="17" t="str">
        <x:v>Nashville</x:v>
      </x:c>
      <x:c r="I27" s="32" t="str">
        <x:v>0.2087</x:v>
      </x:c>
      <x:c r="J27" s="32" t="str">
        <x:v>0.6364</x:v>
      </x:c>
      <x:c r="K27" s="41" t="str">
        <x:v>0.0</x:v>
      </x:c>
      <x:c r="L27" s="17" t="str">
        <x:v>False</x:v>
      </x:c>
      <x:c r="M27" s="32" t="str">
        <x:v>0.42</x:v>
      </x:c>
      <x:c r="N27" s="23" t="str">
        <x:v>distance_le_0.5km | partly_similar_name | same_city_or_county</x:v>
      </x:c>
      <x:c r="O27" s="17" t="str">
        <x:v>curated_keep_separate</x:v>
      </x:c>
      <x:c r="P27" s="44" t="str">
        <x:v>211 Commerce Street and 147 Fourth Avenue are separate physical sites.</x:v>
      </x:c>
    </x:row>
    <x:row r="28" ht="32" hidden="0" customHeight="1">
      <x:c r="A28" s="38" t="str">
        <x:v>peeringdb:5004</x:v>
      </x:c>
      <x:c r="B28" s="23" t="str">
        <x:v>compute_atlas:flexential-nashville-franklin-tn</x:v>
      </x:c>
      <x:c r="C28" s="23" t="str">
        <x:v>Flexential - Nashville/Cool Springs (NAS02/03)</x:v>
      </x:c>
      <x:c r="D28" s="23" t="str">
        <x:v>Flexential Nashville - Franklin</x:v>
      </x:c>
      <x:c r="E28" s="23" t="str">
        <x:v>Flexential Corp.</x:v>
      </x:c>
      <x:c r="F28" s="23" t="str">
        <x:v>Flexential</x:v>
      </x:c>
      <x:c r="G28" s="17" t="str">
        <x:v>Franklin</x:v>
      </x:c>
      <x:c r="H28" s="17" t="str">
        <x:v>Franklin</x:v>
      </x:c>
      <x:c r="I28" s="32" t="str">
        <x:v>3.7648</x:v>
      </x:c>
      <x:c r="J28" s="32" t="str">
        <x:v>0.6761</x:v>
      </x:c>
      <x:c r="K28" s="41" t="str">
        <x:v>1.0</x:v>
      </x:c>
      <x:c r="L28" s="17" t="str">
        <x:v>False</x:v>
      </x:c>
      <x:c r="M28" s="32" t="str">
        <x:v>0.55</x:v>
      </x:c>
      <x:c r="N28" s="23" t="str">
        <x:v>same_operator | similar_name | same_city_or_county</x:v>
      </x:c>
      <x:c r="O28" s="17" t="str">
        <x:v>curated_keep_separate</x:v>
      </x:c>
      <x:c r="P28" s="44" t="str">
        <x:v>Cool Springs and Franklin are separate Flexential facilities.</x:v>
      </x:c>
    </x:row>
    <x:row r="29" ht="32" hidden="0" customHeight="1">
      <x:c r="A29" s="38" t="str">
        <x:v>peeringdb:5004</x:v>
      </x:c>
      <x:c r="B29" s="23" t="str">
        <x:v>peeringdb:5005</x:v>
      </x:c>
      <x:c r="C29" s="23" t="str">
        <x:v>Flexential - Nashville/Cool Springs (NAS02/03)</x:v>
      </x:c>
      <x:c r="D29" s="23" t="str">
        <x:v>Flexential - Nashville/Franklin (NAS05/06)</x:v>
      </x:c>
      <x:c r="E29" s="23" t="str">
        <x:v>Flexential Corp.</x:v>
      </x:c>
      <x:c r="F29" s="23" t="str">
        <x:v>Flexential Corp.</x:v>
      </x:c>
      <x:c r="G29" s="17" t="str">
        <x:v>Franklin</x:v>
      </x:c>
      <x:c r="H29" s="17" t="str">
        <x:v>Franklin</x:v>
      </x:c>
      <x:c r="I29" s="32" t="str">
        <x:v>3.776</x:v>
      </x:c>
      <x:c r="J29" s="32" t="str">
        <x:v>0.775</x:v>
      </x:c>
      <x:c r="K29" s="41" t="str">
        <x:v>1.0</x:v>
      </x:c>
      <x:c r="L29" s="17" t="str">
        <x:v>False</x:v>
      </x:c>
      <x:c r="M29" s="32" t="str">
        <x:v>0.55</x:v>
      </x:c>
      <x:c r="N29" s="23" t="str">
        <x:v>same_operator | similar_name | same_city_or_county</x:v>
      </x:c>
      <x:c r="O29" s="17" t="str">
        <x:v>curated_keep_separate</x:v>
      </x:c>
      <x:c r="P29" s="44" t="str">
        <x:v>PeeringDB lists separate addresses and facility codes.</x:v>
      </x:c>
    </x:row>
    <x:row r="30" ht="32" hidden="0" customHeight="1">
      <x:c r="A30" s="38" t="str">
        <x:v>peeringdb:5005</x:v>
      </x:c>
      <x:c r="B30" s="23" t="str">
        <x:v>compute_atlas:flexential-nashville-cool-springs-tn</x:v>
      </x:c>
      <x:c r="C30" s="23" t="str">
        <x:v>Flexential - Nashville/Franklin (NAS05/06)</x:v>
      </x:c>
      <x:c r="D30" s="23" t="str">
        <x:v>Flexential Nashville - Cool Springs</x:v>
      </x:c>
      <x:c r="E30" s="23" t="str">
        <x:v>Flexential Corp.</x:v>
      </x:c>
      <x:c r="F30" s="23" t="str">
        <x:v>Flexential</x:v>
      </x:c>
      <x:c r="G30" s="17" t="str">
        <x:v>Franklin</x:v>
      </x:c>
      <x:c r="H30" s="17" t="str">
        <x:v>Franklin</x:v>
      </x:c>
      <x:c r="I30" s="32" t="str">
        <x:v>3.7772</x:v>
      </x:c>
      <x:c r="J30" s="32" t="str">
        <x:v>0.7042</x:v>
      </x:c>
      <x:c r="K30" s="41" t="str">
        <x:v>1.0</x:v>
      </x:c>
      <x:c r="L30" s="17" t="str">
        <x:v>False</x:v>
      </x:c>
      <x:c r="M30" s="32" t="str">
        <x:v>0.55</x:v>
      </x:c>
      <x:c r="N30" s="23" t="str">
        <x:v>same_operator | similar_name | same_city_or_county</x:v>
      </x:c>
      <x:c r="O30" s="17" t="str">
        <x:v>curated_keep_separate</x:v>
      </x:c>
      <x:c r="P30" s="44" t="str">
        <x:v>Franklin and Cool Springs are separate Flexential facilities.</x:v>
      </x:c>
    </x:row>
    <x:row r="31" ht="32" hidden="0" customHeight="1">
      <x:c r="A31" s="38" t="str">
        <x:v>peeringdb:561</x:v>
      </x:c>
      <x:c r="B31" s="23" t="str">
        <x:v>peeringdb:2936</x:v>
      </x:c>
      <x:c r="C31" s="23" t="str">
        <x:v>H5 Data Centers Nashville</x:v>
      </x:c>
      <x:c r="D31" s="23" t="str">
        <x:v>Zayo Nashville - 209 10th Ave. S</x:v>
      </x:c>
      <x:c r="E31" s="23" t="str">
        <x:v>H5 Data Centers</x:v>
      </x:c>
      <x:c r="F31" s="23" t="str">
        <x:v>Zayo Group</x:v>
      </x:c>
      <x:c r="G31" s="17" t="str">
        <x:v>Nashville</x:v>
      </x:c>
      <x:c r="H31" s="17" t="str">
        <x:v>Nashville</x:v>
      </x:c>
      <x:c r="I31" s="32" t="str">
        <x:v>0.9</x:v>
      </x:c>
      <x:c r="J31" s="32" t="str">
        <x:v>0.4074</x:v>
      </x:c>
      <x:c r="K31" s="41" t="str">
        <x:v>0.16</x:v>
      </x:c>
      <x:c r="L31" s="17" t="str">
        <x:v>False</x:v>
      </x:c>
      <x:c r="M31" s="32" t="str">
        <x:v>0.32</x:v>
      </x:c>
      <x:c r="N31" s="23" t="str">
        <x:v>distance_le_1km | partly_similar_name | same_city_or_county</x:v>
      </x:c>
      <x:c r="O31" s="17" t="str">
        <x:v>curated_keep_separate</x:v>
      </x:c>
      <x:c r="P31" s="44" t="str">
        <x:v>H5 Fourth Avenue and Zayo 10th Avenue are separate facilities.</x:v>
      </x:c>
    </x:row>
    <x:row r="32" ht="32" hidden="0" customHeight="1">
      <x:c r="A32" s="38" t="str">
        <x:v>peeringdb:561</x:v>
      </x:c>
      <x:c r="B32" s="23" t="str">
        <x:v>peeringdb:3925</x:v>
      </x:c>
      <x:c r="C32" s="23" t="str">
        <x:v>H5 Data Centers Nashville</x:v>
      </x:c>
      <x:c r="D32" s="23" t="str">
        <x:v>H5 Data Centers Nashville (TN01)</x:v>
      </x:c>
      <x:c r="E32" s="23" t="str">
        <x:v>H5 Data Centers</x:v>
      </x:c>
      <x:c r="F32" s="23" t="str">
        <x:v>H5 Data Centers</x:v>
      </x:c>
      <x:c r="G32" s="17" t="str">
        <x:v>Nashville</x:v>
      </x:c>
      <x:c r="H32" s="17" t="str">
        <x:v>Nashville</x:v>
      </x:c>
      <x:c r="I32" s="32" t="str">
        <x:v>0.2117</x:v>
      </x:c>
      <x:c r="J32" s="32" t="str">
        <x:v>0.9091</x:v>
      </x:c>
      <x:c r="K32" s="41" t="str">
        <x:v>1.0</x:v>
      </x:c>
      <x:c r="L32" s="17" t="str">
        <x:v>False</x:v>
      </x:c>
      <x:c r="M32" s="32" t="str">
        <x:v>0.8</x:v>
      </x:c>
      <x:c r="N32" s="23" t="str">
        <x:v>distance_le_0.5km | same_operator | similar_name | same_city_or_county</x:v>
      </x:c>
      <x:c r="O32" s="17" t="str">
        <x:v>curated_keep_separate</x:v>
      </x:c>
      <x:c r="P32" s="44" t="str">
        <x:v>Different street addresses: 147 Fourth Avenue and 211 Commerce Street.</x:v>
      </x:c>
    </x:row>
    <x:row r="33" ht="32" hidden="0" customHeight="1">
      <x:c r="A33" s="38" t="str">
        <x:v>peeringdb:7217</x:v>
      </x:c>
      <x:c r="B33" s="23" t="str">
        <x:v>peeringdb:14177</x:v>
      </x:c>
      <x:c r="C33" s="23" t="str">
        <x:v>DC BLOX CHA1 - DCBLOX Chattanooga</x:v>
      </x:c>
      <x:c r="D33" s="23" t="str">
        <x:v>Peace Communications CHA1</x:v>
      </x:c>
      <x:c r="E33" s="23" t="str">
        <x:v>DC BLOX Parent LLC</x:v>
      </x:c>
      <x:c r="F33" s="23" t="str">
        <x:v>Peace Communications</x:v>
      </x:c>
      <x:c r="G33" s="17" t="str">
        <x:v>Chattanooga</x:v>
      </x:c>
      <x:c r="H33" s="17" t="str">
        <x:v>Chattanooga</x:v>
      </x:c>
      <x:c r="I33" s="32" t="str">
        <x:v>0.7518</x:v>
      </x:c>
      <x:c r="J33" s="32" t="str">
        <x:v>0.2857</x:v>
      </x:c>
      <x:c r="K33" s="41" t="str">
        <x:v>0.2222</x:v>
      </x:c>
      <x:c r="L33" s="17" t="str">
        <x:v>False</x:v>
      </x:c>
      <x:c r="M33" s="32" t="str">
        <x:v>0.2</x:v>
      </x:c>
      <x:c r="N33" s="23" t="str">
        <x:v>distance_le_1km | same_city_or_county</x:v>
      </x:c>
      <x:c r="O33" s="17" t="str">
        <x:v>curated_keep_separate</x:v>
      </x:c>
      <x:c r="P33" s="44" t="str">
        <x:v>DC BLOX and Peace Communications have different operators and addresses.</x:v>
      </x:c>
    </x:row>
    <x:row r="34" ht="32" hidden="0" customHeight="1">
      <x:c r="A34" s="38" t="str">
        <x:v>fractracker:1768853682905-5418</x:v>
      </x:c>
      <x:c r="B34" s="23" t="str">
        <x:v>compute_atlas:jailhouse-studios-chattanooga-tn</x:v>
      </x:c>
      <x:c r="C34" s="23" t="str">
        <x:v>Jailhouse Studios Data Center</x:v>
      </x:c>
      <x:c r="D34" s="23" t="str">
        <x:v>Jailhouse Studios (former Hamilton County Jail)</x:v>
      </x:c>
      <x:c r="E34" s="23" t="str"/>
      <x:c r="F34" s="23" t="str">
        <x:v>Urban Story Ventures</x:v>
      </x:c>
      <x:c r="G34" s="17" t="str">
        <x:v>Chattanooga</x:v>
      </x:c>
      <x:c r="H34" s="17" t="str">
        <x:v>Chattanooga</x:v>
      </x:c>
      <x:c r="I34" s="32" t="str">
        <x:v>0.4469</x:v>
      </x:c>
      <x:c r="J34" s="32" t="str">
        <x:v>0.6486</x:v>
      </x:c>
      <x:c r="K34" s="41" t="str">
        <x:v>0.0</x:v>
      </x:c>
      <x:c r="L34" s="17" t="str">
        <x:v>False</x:v>
      </x:c>
      <x:c r="M34" s="32" t="str">
        <x:v>0.42</x:v>
      </x:c>
      <x:c r="N34" s="23" t="str">
        <x:v>distance_le_0.5km | partly_similar_name | same_city_or_county</x:v>
      </x:c>
      <x:c r="O34" s="17" t="str">
        <x:v>curated_merge</x:v>
      </x:c>
      <x:c r="P34" s="44" t="str">
        <x:v>Same Jailhouse Studios former Hamilton County Jail project in Chattanooga.</x:v>
      </x:c>
    </x:row>
    <x:row r="35" ht="32" hidden="0" customHeight="1">
      <x:c r="A35" s="38" t="str">
        <x:v>fractracker:1780024884691-1880</x:v>
      </x:c>
      <x:c r="B35" s="23" t="str">
        <x:v>compute_atlas:hixson-data-center-mcminnville-tn</x:v>
      </x:c>
      <x:c r="C35" s="23" t="str">
        <x:v>Hixson Data Center</x:v>
      </x:c>
      <x:c r="D35" s="23" t="str">
        <x:v>Hixson Data Center (McMinnville)</x:v>
      </x:c>
      <x:c r="E35" s="23" t="str"/>
      <x:c r="F35" s="23" t="str">
        <x:v>Hixson Data Center</x:v>
      </x:c>
      <x:c r="G35" s="17" t="str">
        <x:v>McMinnville</x:v>
      </x:c>
      <x:c r="H35" s="17" t="str">
        <x:v>McMinnville</x:v>
      </x:c>
      <x:c r="I35" s="32" t="str">
        <x:v>7.3696</x:v>
      </x:c>
      <x:c r="J35" s="32" t="str">
        <x:v>0.75</x:v>
      </x:c>
      <x:c r="K35" s="41" t="str">
        <x:v>0.0</x:v>
      </x:c>
      <x:c r="L35" s="17" t="str">
        <x:v>False</x:v>
      </x:c>
      <x:c r="M35" s="32" t="str">
        <x:v>0.3</x:v>
      </x:c>
      <x:c r="N35" s="23" t="str">
        <x:v>similar_name | same_city_or_county</x:v>
      </x:c>
      <x:c r="O35" s="17" t="str">
        <x:v>curated_merge</x:v>
      </x:c>
      <x:c r="P35" s="44" t="str">
        <x:v>Both records identify the proposed Hixson Data Center in McMinnville; both coordinates are approximate and their spread is retained.</x:v>
      </x:c>
    </x:row>
    <x:row r="36" ht="32" hidden="0" customHeight="1">
      <x:c r="A36" s="38" t="str">
        <x:v>fractracker:1780860040054-4476</x:v>
      </x:c>
      <x:c r="B36" s="23" t="str">
        <x:v>compute_atlas:dcblox-nashville-grassmere-tn</x:v>
      </x:c>
      <x:c r="C36" s="23" t="str">
        <x:v>DC Blox Data Center</x:v>
      </x:c>
      <x:c r="D36" s="23" t="str">
        <x:v>DC BLOX Nashville (Grassmere Park)</x:v>
      </x:c>
      <x:c r="E36" s="23" t="str"/>
      <x:c r="F36" s="23" t="str">
        <x:v>DC BLOX</x:v>
      </x:c>
      <x:c r="G36" s="17" t="str">
        <x:v>Nashville</x:v>
      </x:c>
      <x:c r="H36" s="17" t="str">
        <x:v>Nashville</x:v>
      </x:c>
      <x:c r="I36" s="32" t="str">
        <x:v>0.47</x:v>
      </x:c>
      <x:c r="J36" s="32" t="str">
        <x:v>0.4706</x:v>
      </x:c>
      <x:c r="K36" s="41" t="str">
        <x:v>0.0</x:v>
      </x:c>
      <x:c r="L36" s="17" t="str">
        <x:v>False</x:v>
      </x:c>
      <x:c r="M36" s="32" t="str">
        <x:v>0.42</x:v>
      </x:c>
      <x:c r="N36" s="23" t="str">
        <x:v>distance_le_0.5km | partly_similar_name | same_city_or_county</x:v>
      </x:c>
      <x:c r="O36" s="17" t="str">
        <x:v>curated_merge</x:v>
      </x:c>
      <x:c r="P36" s="44" t="str">
        <x:v>Same DC BLOX Grassmere Park project in Nashville.</x:v>
      </x:c>
    </x:row>
    <x:row r="37" ht="32" hidden="0" customHeight="1">
      <x:c r="A37" s="38" t="str">
        <x:v>fractracker:494</x:v>
      </x:c>
      <x:c r="B37" s="23" t="str">
        <x:v>compute_atlas:google-montgomery-county-tn</x:v>
      </x:c>
      <x:c r="C37" s="23" t="str">
        <x:v>Google Clarksville Data Center</x:v>
      </x:c>
      <x:c r="D37" s="23" t="str">
        <x:v>Google Montgomery County Data Center</x:v>
      </x:c>
      <x:c r="E37" s="23" t="str">
        <x:v>Google</x:v>
      </x:c>
      <x:c r="F37" s="23" t="str">
        <x:v>Google</x:v>
      </x:c>
      <x:c r="G37" s="17" t="str">
        <x:v>Clarksville</x:v>
      </x:c>
      <x:c r="H37" s="17" t="str">
        <x:v>Clarksville</x:v>
      </x:c>
      <x:c r="I37" s="32" t="str">
        <x:v>13.66</x:v>
      </x:c>
      <x:c r="J37" s="32" t="str">
        <x:v>0.6061</x:v>
      </x:c>
      <x:c r="K37" s="41" t="str">
        <x:v>1.0</x:v>
      </x:c>
      <x:c r="L37" s="17" t="str">
        <x:v>False</x:v>
      </x:c>
      <x:c r="M37" s="32" t="str">
        <x:v>0.42</x:v>
      </x:c>
      <x:c r="N37" s="23" t="str">
        <x:v>same_operator | partly_similar_name | same_city_or_county</x:v>
      </x:c>
      <x:c r="O37" s="17" t="str">
        <x:v>curated_merge</x:v>
      </x:c>
      <x:c r="P37" s="44" t="str">
        <x:v>Both records identify Google's Clarksville/Montgomery County data-center project; the FracTracker high-confidence address coordinate is retained.</x:v>
      </x:c>
    </x:row>
    <x:row r="38" ht="32" hidden="0" customHeight="1">
      <x:c r="A38" s="38" t="str">
        <x:v>fractracker:495</x:v>
      </x:c>
      <x:c r="B38" s="23" t="str">
        <x:v>compute_atlas:cielo-clarksville-tn</x:v>
      </x:c>
      <x:c r="C38" s="23" t="str">
        <x:v>Cielo Digital Infrastructure</x:v>
      </x:c>
      <x:c r="D38" s="23" t="str">
        <x:v>Cielo Montgomery County AI Campus</x:v>
      </x:c>
      <x:c r="E38" s="23" t="str"/>
      <x:c r="F38" s="23" t="str">
        <x:v>Cielo Digital Infrastructure</x:v>
      </x:c>
      <x:c r="G38" s="17" t="str">
        <x:v>Clarksville</x:v>
      </x:c>
      <x:c r="H38" s="17" t="str">
        <x:v>Clarksville</x:v>
      </x:c>
      <x:c r="I38" s="32" t="str">
        <x:v>5.0033</x:v>
      </x:c>
      <x:c r="J38" s="32" t="str">
        <x:v>0.2951</x:v>
      </x:c>
      <x:c r="K38" s="41" t="str">
        <x:v>0.0</x:v>
      </x:c>
      <x:c r="L38" s="17" t="str">
        <x:v>False</x:v>
      </x:c>
      <x:c r="M38" s="32" t="str">
        <x:v>0.05</x:v>
      </x:c>
      <x:c r="N38" s="23" t="str">
        <x:v>same_city_or_county</x:v>
      </x:c>
      <x:c r="O38" s="17" t="str">
        <x:v>curated_merge</x:v>
      </x:c>
      <x:c r="P38" s="44" t="str">
        <x:v>Both records identify the Cielo Digital Infrastructure Montgomery County AI campus in Clarksville; coordinate disagreement is retained as a quality flag.</x:v>
      </x:c>
    </x:row>
    <x:row r="39" ht="32" hidden="0" customHeight="1">
      <x:c r="A39" s="38" t="str">
        <x:v>fractracker:496</x:v>
      </x:c>
      <x:c r="B39" s="23" t="str">
        <x:v>compute_atlas:meta-gallatin-tn</x:v>
      </x:c>
      <x:c r="C39" s="23" t="str">
        <x:v>Gallatin Data Center</x:v>
      </x:c>
      <x:c r="D39" s="23" t="str">
        <x:v>Meta Gallatin Data Center Campus</x:v>
      </x:c>
      <x:c r="E39" s="23" t="str">
        <x:v>Meta</x:v>
      </x:c>
      <x:c r="F39" s="23" t="str">
        <x:v>Meta</x:v>
      </x:c>
      <x:c r="G39" s="17" t="str">
        <x:v>Gallatin</x:v>
      </x:c>
      <x:c r="H39" s="17" t="str">
        <x:v>Gallatin</x:v>
      </x:c>
      <x:c r="I39" s="32" t="str">
        <x:v>6.2572</x:v>
      </x:c>
      <x:c r="J39" s="32" t="str">
        <x:v>0.7692</x:v>
      </x:c>
      <x:c r="K39" s="41" t="str">
        <x:v>1.0</x:v>
      </x:c>
      <x:c r="L39" s="17" t="str">
        <x:v>False</x:v>
      </x:c>
      <x:c r="M39" s="32" t="str">
        <x:v>0.55</x:v>
      </x:c>
      <x:c r="N39" s="23" t="str">
        <x:v>same_operator | similar_name | same_city_or_county</x:v>
      </x:c>
      <x:c r="O39" s="17" t="str">
        <x:v>curated_merge</x:v>
      </x:c>
      <x:c r="P39" s="44" t="str">
        <x:v>Both records identify Meta's Gallatin data-center campus; coordinate disagreement is retained as a quality flag.</x:v>
      </x:c>
    </x:row>
    <x:row r="40" ht="32" hidden="0" customHeight="1">
      <x:c r="A40" s="38" t="str">
        <x:v>compute_atlas:hixson-bloom-fuel-cells-mcminnville-tn</x:v>
      </x:c>
      <x:c r="B40" s="23" t="str">
        <x:v>compute_atlas:hixson-bloom-fuel-cells-mcminnville-tn</x:v>
      </x:c>
      <x:c r="C40" s="23" t="str">
        <x:v>Hixson Data Center On-Site Fuel Cell Plant (McMinnville)</x:v>
      </x:c>
      <x:c r="D40" s="23" t="str">
        <x:v>Hixson Data Center On-Site Fuel Cell Plant (McMinnville)</x:v>
      </x:c>
      <x:c r="E40" s="23" t="str">
        <x:v>Hixson Data Center</x:v>
      </x:c>
      <x:c r="F40" s="23" t="str">
        <x:v>Hixson Data Center</x:v>
      </x:c>
      <x:c r="G40" s="17" t="str">
        <x:v>McMinnville</x:v>
      </x:c>
      <x:c r="H40" s="17" t="str">
        <x:v>McMinnville</x:v>
      </x:c>
      <x:c r="I40" s="32" t="str"/>
      <x:c r="J40" s="32" t="str">
        <x:v>0.0</x:v>
      </x:c>
      <x:c r="K40" s="41" t="str">
        <x:v>0.0</x:v>
      </x:c>
      <x:c r="L40" s="17" t="str">
        <x:v>False</x:v>
      </x:c>
      <x:c r="M40" s="32" t="str">
        <x:v>0.0</x:v>
      </x:c>
      <x:c r="N40" s="23" t="str">
        <x:v>facility_type_power_generation</x:v>
      </x:c>
      <x:c r="O40" s="17" t="str">
        <x:v>excluded_support_infrastructure</x:v>
      </x:c>
      <x:c r="P40" s="44" t="str">
        <x:v>Non-data-center support infrastructure retained only in raw aligned data.</x:v>
      </x:c>
    </x:row>
    <x:row r="41" ht="32" hidden="0" customHeight="1">
      <x:c r="A41" s="39" t="str">
        <x:v>compute_atlas:kairos-hermes-2-oak-ridge-tn</x:v>
      </x:c>
      <x:c r="B41" s="24" t="str">
        <x:v>compute_atlas:kairos-hermes-2-oak-ridge-tn</x:v>
      </x:c>
      <x:c r="C41" s="24" t="str">
        <x:v>Kairos Power Hermes 2</x:v>
      </x:c>
      <x:c r="D41" s="24" t="str">
        <x:v>Kairos Power Hermes 2</x:v>
      </x:c>
      <x:c r="E41" s="24" t="str">
        <x:v>Kairos Power</x:v>
      </x:c>
      <x:c r="F41" s="24" t="str">
        <x:v>Kairos Power</x:v>
      </x:c>
      <x:c r="G41" s="20" t="str">
        <x:v>Oak Ridge</x:v>
      </x:c>
      <x:c r="H41" s="20" t="str">
        <x:v>Oak Ridge</x:v>
      </x:c>
      <x:c r="I41" s="33" t="str"/>
      <x:c r="J41" s="33" t="str">
        <x:v>0.0</x:v>
      </x:c>
      <x:c r="K41" s="42" t="str">
        <x:v>0.0</x:v>
      </x:c>
      <x:c r="L41" s="20" t="str">
        <x:v>False</x:v>
      </x:c>
      <x:c r="M41" s="33" t="str">
        <x:v>0.0</x:v>
      </x:c>
      <x:c r="N41" s="24" t="str">
        <x:v>facility_type_power_generation</x:v>
      </x:c>
      <x:c r="O41" s="20" t="str">
        <x:v>excluded_support_infrastructure</x:v>
      </x:c>
      <x:c r="P41" s="45" t="str">
        <x:v>Non-data-center support infrastructure retained only in raw aligned data.</x:v>
      </x:c>
    </x:row>
  </x:sheetData>
  <x:pageMargins left="0.7" right="0.7" top="0.75" bottom="0.75" header="0.3" footer="0.3"/>
  <x:tableParts count="1">
    <x:tablePart xmlns:r="http://schemas.openxmlformats.org/officeDocument/2006/relationships" r:id="R7b9e1347fcdb4db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44" hidden="0" customWidth="1"/>
    <x:col min="3" max="3" width="45" hidden="0" customWidth="1"/>
    <x:col min="4" max="4" width="45" hidden="0" customWidth="1"/>
    <x:col min="5" max="5" width="34" hidden="0" customWidth="1"/>
    <x:col min="6" max="6" width="34" hidden="0" customWidth="1"/>
    <x:col min="7" max="7" width="17" hidden="0" customWidth="1"/>
    <x:col min="8" max="8" width="17" hidden="0" customWidth="1"/>
    <x:col min="9" max="9" width="15" hidden="0" customWidth="1"/>
    <x:col min="10" max="10" width="17" hidden="0" customWidth="1"/>
    <x:col min="11" max="11" width="34" hidden="0" customWidth="1"/>
    <x:col min="12" max="12" width="17" hidden="0" customWidth="1"/>
    <x:col min="13" max="13" width="17" hidden="0" customWidth="1"/>
    <x:col min="14" max="14" width="60" hidden="0" customWidth="1"/>
    <x:col min="15" max="15" width="18" hidden="0" customWidth="1"/>
    <x:col min="16" max="16" width="60" hidden="0" customWidth="1"/>
  </x:cols>
  <x:sheetData>
    <x:row r="1" ht="32" customHeight="1">
      <x:c r="A1" s="9" t="str">
        <x:v>left_record</x:v>
      </x:c>
      <x:c r="B1" s="10" t="str">
        <x:v>right_record</x:v>
      </x:c>
      <x:c r="C1" s="10" t="str">
        <x:v>left_name</x:v>
      </x:c>
      <x:c r="D1" s="10" t="str">
        <x:v>right_name</x:v>
      </x:c>
      <x:c r="E1" s="10" t="str">
        <x:v>left_operator</x:v>
      </x:c>
      <x:c r="F1" s="10" t="str">
        <x:v>right_operator</x:v>
      </x:c>
      <x:c r="G1" s="10" t="str">
        <x:v>left_city</x:v>
      </x:c>
      <x:c r="H1" s="10" t="str">
        <x:v>right_city</x:v>
      </x:c>
      <x:c r="I1" s="10" t="str">
        <x:v>distance_km</x:v>
      </x:c>
      <x:c r="J1" s="10" t="str">
        <x:v>name_similarity</x:v>
      </x:c>
      <x:c r="K1" s="10" t="str">
        <x:v>operator_similarity</x:v>
      </x:c>
      <x:c r="L1" s="10" t="str">
        <x:v>address_exact</x:v>
      </x:c>
      <x:c r="M1" s="10" t="str">
        <x:v>match_score</x:v>
      </x:c>
      <x:c r="N1" s="10" t="str">
        <x:v>evidence</x:v>
      </x:c>
      <x:c r="O1" s="10" t="str">
        <x:v>decision</x:v>
      </x:c>
      <x:c r="P1" s="11" t="str">
        <x:v>rationale</x:v>
      </x:c>
    </x:row>
    <x:row r="2" ht="34" hidden="0" customHeight="1">
      <x:c r="A2" s="37" t="str">
        <x:v>fractracker:499</x:v>
      </x:c>
      <x:c r="B2" s="22" t="str">
        <x:v>compute_atlas:xai-colossus-memphis-tn</x:v>
      </x:c>
      <x:c r="C2" s="22" t="str">
        <x:v>xAI Colossus 1</x:v>
      </x:c>
      <x:c r="D2" s="22" t="str">
        <x:v>Colossus</x:v>
      </x:c>
      <x:c r="E2" s="22" t="str">
        <x:v>xAI</x:v>
      </x:c>
      <x:c r="F2" s="22" t="str">
        <x:v>xAI</x:v>
      </x:c>
      <x:c r="G2" s="14" t="str">
        <x:v>Memphis</x:v>
      </x:c>
      <x:c r="H2" s="14" t="str">
        <x:v>Memphis</x:v>
      </x:c>
      <x:c r="I2" s="31" t="str">
        <x:v>12.8757</x:v>
      </x:c>
      <x:c r="J2" s="31" t="str">
        <x:v>0.7273</x:v>
      </x:c>
      <x:c r="K2" s="40" t="str">
        <x:v>1.0</x:v>
      </x:c>
      <x:c r="L2" s="14" t="str">
        <x:v>False</x:v>
      </x:c>
      <x:c r="M2" s="31" t="str">
        <x:v>0.55</x:v>
      </x:c>
      <x:c r="N2" s="22" t="str">
        <x:v>same_operator | similar_name | same_city_or_county</x:v>
      </x:c>
      <x:c r="O2" s="46" t="str">
        <x:v>manual_review</x:v>
      </x:c>
      <x:c r="P2" s="43" t="str"/>
    </x:row>
    <x:row r="3" ht="34" hidden="0" customHeight="1">
      <x:c r="A3" s="39" t="str">
        <x:v>fractracker:500</x:v>
      </x:c>
      <x:c r="B3" s="24" t="str">
        <x:v>compute_atlas:xai-colossus-memphis-tn</x:v>
      </x:c>
      <x:c r="C3" s="24" t="str">
        <x:v>xAI Colossus 2</x:v>
      </x:c>
      <x:c r="D3" s="24" t="str">
        <x:v>Colossus</x:v>
      </x:c>
      <x:c r="E3" s="24" t="str">
        <x:v>xAI</x:v>
      </x:c>
      <x:c r="F3" s="24" t="str">
        <x:v>xAI</x:v>
      </x:c>
      <x:c r="G3" s="20" t="str">
        <x:v>Memphis</x:v>
      </x:c>
      <x:c r="H3" s="20" t="str">
        <x:v>Memphis</x:v>
      </x:c>
      <x:c r="I3" s="33" t="str">
        <x:v>6.7538</x:v>
      </x:c>
      <x:c r="J3" s="33" t="str">
        <x:v>0.7273</x:v>
      </x:c>
      <x:c r="K3" s="42" t="str">
        <x:v>1.0</x:v>
      </x:c>
      <x:c r="L3" s="20" t="str">
        <x:v>False</x:v>
      </x:c>
      <x:c r="M3" s="33" t="str">
        <x:v>0.55</x:v>
      </x:c>
      <x:c r="N3" s="24" t="str">
        <x:v>same_operator | similar_name | same_city_or_county</x:v>
      </x:c>
      <x:c r="O3" s="47" t="str">
        <x:v>manual_review</x:v>
      </x:c>
      <x:c r="P3" s="45" t="str"/>
    </x:row>
  </x:sheetData>
  <x:pageMargins left="0.7" right="0.7" top="0.75" bottom="0.75" header="0.3" footer="0.3"/>
  <x:tableParts count="1">
    <x:tablePart xmlns:r="http://schemas.openxmlformats.org/officeDocument/2006/relationships" r:id="R5dd4dde54f2e48a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44" hidden="0" customWidth="1"/>
    <x:col min="3" max="3" width="45" hidden="0" customWidth="1"/>
    <x:col min="4" max="4" width="17" hidden="0" customWidth="1"/>
    <x:col min="5" max="5" width="34" hidden="0" customWidth="1"/>
    <x:col min="6" max="6" width="17" hidden="0" customWidth="1"/>
    <x:col min="7" max="7" width="3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5" hidden="0" customWidth="1"/>
    <x:col min="14" max="14" width="15" hidden="0" customWidth="1"/>
    <x:col min="15" max="15" width="17" hidden="0" customWidth="1"/>
    <x:col min="16" max="16" width="17" hidden="0" customWidth="1"/>
    <x:col min="17" max="17" width="55" hidden="0" customWidth="1"/>
    <x:col min="18" max="18" width="17" hidden="0" customWidth="1"/>
    <x:col min="19" max="19" width="30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  <x:col min="34" max="34" width="22" hidden="0" customWidth="1"/>
    <x:col min="35" max="35" width="22" hidden="0" customWidth="1"/>
    <x:col min="36" max="36" width="60" hidden="0" customWidth="1"/>
    <x:col min="37" max="37" width="60" hidden="0" customWidth="1"/>
    <x:col min="38" max="38" width="60" hidden="0" customWidth="1"/>
    <x:col min="39" max="39" width="55" hidden="0" customWidth="1"/>
    <x:col min="40" max="40" width="17" hidden="0" customWidth="1"/>
    <x:col min="41" max="41" width="17" hidden="0" customWidth="1"/>
    <x:col min="42" max="42" width="34" hidden="0" customWidth="1"/>
    <x:col min="43" max="43" width="30" hidden="0" customWidth="1"/>
    <x:col min="44" max="44" width="30" hidden="0" customWidth="1"/>
  </x:cols>
  <x:sheetData>
    <x:row r="1" ht="32" customHeight="1">
      <x:c r="A1" s="9" t="str">
        <x:v>source</x:v>
      </x:c>
      <x:c r="B1" s="10" t="str">
        <x:v>source_record_id</x:v>
      </x:c>
      <x:c r="C1" s="10" t="str">
        <x:v>facility_name</x:v>
      </x:c>
      <x:c r="D1" s="10" t="str">
        <x:v>aliases</x:v>
      </x:c>
      <x:c r="E1" s="10" t="str">
        <x:v>operator</x:v>
      </x:c>
      <x:c r="F1" s="10" t="str">
        <x:v>tenant</x:v>
      </x:c>
      <x:c r="G1" s="10" t="str">
        <x:v>address</x:v>
      </x:c>
      <x:c r="H1" s="10" t="str">
        <x:v>address2</x:v>
      </x:c>
      <x:c r="I1" s="10" t="str">
        <x:v>city</x:v>
      </x:c>
      <x:c r="J1" s="10" t="str">
        <x:v>county</x:v>
      </x:c>
      <x:c r="K1" s="10" t="str">
        <x:v>state</x:v>
      </x:c>
      <x:c r="L1" s="10" t="str">
        <x:v>postal_code</x:v>
      </x:c>
      <x:c r="M1" s="10" t="str">
        <x:v>latitude</x:v>
      </x:c>
      <x:c r="N1" s="10" t="str">
        <x:v>longitude</x:v>
      </x:c>
      <x:c r="O1" s="10" t="str">
        <x:v>location_precision</x:v>
      </x:c>
      <x:c r="P1" s="10" t="str">
        <x:v>location_confidence</x:v>
      </x:c>
      <x:c r="Q1" s="10" t="str">
        <x:v>location_determination</x:v>
      </x:c>
      <x:c r="R1" s="10" t="str">
        <x:v>status_raw</x:v>
      </x:c>
      <x:c r="S1" s="10" t="str">
        <x:v>status_normalized</x:v>
      </x:c>
      <x:c r="T1" s="10" t="str">
        <x:v>facility_type</x:v>
      </x:c>
      <x:c r="U1" s="10" t="str">
        <x:v>purpose</x:v>
      </x:c>
      <x:c r="V1" s="10" t="str">
        <x:v>capacity_mw</x:v>
      </x:c>
      <x:c r="W1" s="10" t="str">
        <x:v>capacity_mw_low</x:v>
      </x:c>
      <x:c r="X1" s="10" t="str">
        <x:v>capacity_mw_high</x:v>
      </x:c>
      <x:c r="Y1" s="10" t="str">
        <x:v>square_feet</x:v>
      </x:c>
      <x:c r="Z1" s="10" t="str">
        <x:v>property_acres</x:v>
      </x:c>
      <x:c r="AA1" s="10" t="str">
        <x:v>number_buildings</x:v>
      </x:c>
      <x:c r="AB1" s="10" t="str">
        <x:v>number_generators</x:v>
      </x:c>
      <x:c r="AC1" s="10" t="str">
        <x:v>investment_usd</x:v>
      </x:c>
      <x:c r="AD1" s="10" t="str">
        <x:v>power_source</x:v>
      </x:c>
      <x:c r="AE1" s="10" t="str">
        <x:v>cooling_source</x:v>
      </x:c>
      <x:c r="AF1" s="10" t="str">
        <x:v>cooling_type</x:v>
      </x:c>
      <x:c r="AG1" s="10" t="str">
        <x:v>expected_online</x:v>
      </x:c>
      <x:c r="AH1" s="10" t="str">
        <x:v>created_date</x:v>
      </x:c>
      <x:c r="AI1" s="10" t="str">
        <x:v>updated_date</x:v>
      </x:c>
      <x:c r="AJ1" s="10" t="str">
        <x:v>evidence_urls</x:v>
      </x:c>
      <x:c r="AK1" s="10" t="str">
        <x:v>source_dataset_url</x:v>
      </x:c>
      <x:c r="AL1" s="10" t="str">
        <x:v>source_record_url</x:v>
      </x:c>
      <x:c r="AM1" s="10" t="str">
        <x:v>notes</x:v>
      </x:c>
      <x:c r="AN1" s="10" t="str">
        <x:v>scope_category</x:v>
      </x:c>
      <x:c r="AO1" s="10" t="str">
        <x:v>included_in_master</x:v>
      </x:c>
      <x:c r="AP1" s="10" t="str">
        <x:v>operator_normalized</x:v>
      </x:c>
      <x:c r="AQ1" s="10" t="str">
        <x:v>name_normalized</x:v>
      </x:c>
      <x:c r="AR1" s="11" t="str">
        <x:v>address_normalized</x:v>
      </x:c>
    </x:row>
    <x:row r="2">
      <x:c r="A2" s="13" t="str">
        <x:v>compute_atlas</x:v>
      </x:c>
      <x:c r="B2" s="22" t="str">
        <x:v>hixson-bloom-fuel-cells-mcminnville-tn</x:v>
      </x:c>
      <x:c r="C2" s="22" t="str">
        <x:v>Hixson Data Center On-Site Fuel Cell Plant (McMinnville)</x:v>
      </x:c>
      <x:c r="D2" s="14" t="str"/>
      <x:c r="E2" s="22" t="str">
        <x:v>Hixson Data Center</x:v>
      </x:c>
      <x:c r="F2" s="14" t="str"/>
      <x:c r="G2" s="22" t="str"/>
      <x:c r="H2" s="14" t="str"/>
      <x:c r="I2" s="14" t="str">
        <x:v>McMinnville</x:v>
      </x:c>
      <x:c r="J2" s="25" t="str">
        <x:v>Warren</x:v>
      </x:c>
      <x:c r="K2" s="14" t="str">
        <x:v>TN</x:v>
      </x:c>
      <x:c r="L2" s="14" t="str"/>
      <x:c r="M2" s="28" t="str">
        <x:v>35.6834</x:v>
      </x:c>
      <x:c r="N2" s="28" t="str">
        <x:v>-85.76998</x:v>
      </x:c>
      <x:c r="O2" s="14" t="str">
        <x:v>approximate</x:v>
      </x:c>
      <x:c r="P2" s="14" t="str">
        <x:v>confirmed</x:v>
      </x:c>
      <x:c r="Q2" s="14" t="str"/>
      <x:c r="R2" s="14" t="str">
        <x:v>proposed</x:v>
      </x:c>
      <x:c r="S2" s="14" t="str">
        <x:v>proposed</x:v>
      </x:c>
      <x:c r="T2" s="14" t="str">
        <x:v>power_generation</x:v>
      </x:c>
      <x:c r="U2" s="14" t="str"/>
      <x:c r="V2" s="25" t="str"/>
      <x:c r="W2" s="25" t="str"/>
      <x:c r="X2" s="25" t="str"/>
      <x:c r="Y2" s="25" t="str"/>
      <x:c r="Z2" s="14" t="str"/>
      <x:c r="AA2" s="14" t="str"/>
      <x:c r="AB2" s="14" t="str"/>
      <x:c r="AC2" s="34" t="str"/>
      <x:c r="AD2" s="14" t="str"/>
      <x:c r="AE2" s="14" t="str"/>
      <x:c r="AF2" s="14" t="str"/>
      <x:c r="AG2" s="14" t="str"/>
      <x:c r="AH2" s="14" t="str"/>
      <x:c r="AI2" s="14" t="str">
        <x:v>2026-08-19</x:v>
      </x:c>
      <x:c r="AJ2" s="14" t="str">
        <x:v>https://baxtel.com/news/25mw-ai-data-center-planned-for-mcminnville | https://www.wsmv.com/2026/06/01/amid-plans-new-high-density-ai-data-center-campus-middle-tennessee-city-locals-push-moratorium-such-facilities/ | https://www.wsmv.com/2026/06/03/mcminnville-approves-18-month-moratorium-new-data-centers-creating-requirements-numerous-impact-studies/</x:v>
      </x:c>
      <x:c r="AK2" s="14" t="str">
        <x:v>https://www.compute-atlas.com/api/facilities?state=TN</x:v>
      </x:c>
      <x:c r="AL2" s="22" t="str">
        <x:v>https://www.compute-atlas.com/api/facilities?state=TN</x:v>
      </x:c>
      <x:c r="AM2" s="22" t="str">
        <x:v>[]</x:v>
      </x:c>
      <x:c r="AN2" s="14" t="str">
        <x:v>support_infrastructure</x:v>
      </x:c>
      <x:c r="AO2" s="14" t="str">
        <x:v>False</x:v>
      </x:c>
      <x:c r="AP2" s="22" t="str">
        <x:v>hixson data center</x:v>
      </x:c>
      <x:c r="AQ2" s="14" t="str">
        <x:v>hixson data center on site fuel cell plant mcminnville</x:v>
      </x:c>
      <x:c r="AR2" s="15" t="str"/>
    </x:row>
    <x:row r="3">
      <x:c r="A3" s="19" t="str">
        <x:v>compute_atlas</x:v>
      </x:c>
      <x:c r="B3" s="24" t="str">
        <x:v>kairos-hermes-2-oak-ridge-tn</x:v>
      </x:c>
      <x:c r="C3" s="24" t="str">
        <x:v>Kairos Power Hermes 2</x:v>
      </x:c>
      <x:c r="D3" s="20" t="str"/>
      <x:c r="E3" s="24" t="str">
        <x:v>Kairos Power</x:v>
      </x:c>
      <x:c r="F3" s="20" t="str"/>
      <x:c r="G3" s="24" t="str"/>
      <x:c r="H3" s="20" t="str"/>
      <x:c r="I3" s="20" t="str">
        <x:v>Oak Ridge</x:v>
      </x:c>
      <x:c r="J3" s="27" t="str">
        <x:v>Roane</x:v>
      </x:c>
      <x:c r="K3" s="20" t="str">
        <x:v>TN</x:v>
      </x:c>
      <x:c r="L3" s="20" t="str"/>
      <x:c r="M3" s="30" t="str">
        <x:v>35.92</x:v>
      </x:c>
      <x:c r="N3" s="30" t="str">
        <x:v>-84.39</x:v>
      </x:c>
      <x:c r="O3" s="20" t="str">
        <x:v>approximate</x:v>
      </x:c>
      <x:c r="P3" s="20" t="str">
        <x:v>confirmed</x:v>
      </x:c>
      <x:c r="Q3" s="20" t="str"/>
      <x:c r="R3" s="20" t="str">
        <x:v>under_construction</x:v>
      </x:c>
      <x:c r="S3" s="20" t="str">
        <x:v>under_construction</x:v>
      </x:c>
      <x:c r="T3" s="20" t="str">
        <x:v>power_generation</x:v>
      </x:c>
      <x:c r="U3" s="20" t="str"/>
      <x:c r="V3" s="27" t="str"/>
      <x:c r="W3" s="27" t="str"/>
      <x:c r="X3" s="27" t="str"/>
      <x:c r="Y3" s="27" t="str"/>
      <x:c r="Z3" s="20" t="str"/>
      <x:c r="AA3" s="20" t="str"/>
      <x:c r="AB3" s="20" t="str"/>
      <x:c r="AC3" s="36" t="str"/>
      <x:c r="AD3" s="20" t="str"/>
      <x:c r="AE3" s="20" t="str"/>
      <x:c r="AF3" s="20" t="str"/>
      <x:c r="AG3" s="20" t="str"/>
      <x:c r="AH3" s="20" t="str"/>
      <x:c r="AI3" s="20" t="str">
        <x:v>2026-07-11</x:v>
      </x:c>
      <x:c r="AJ3" s="20" t="str">
        <x:v>https://blog.google/company-news/outreach-and-initiatives/sustainability/google-kairos-power-nuclear-energy-agreement/ | https://www.ans.org/news/2026-04-21/article-7964/kairos-power-breaks-ground-on-first-powerproducing-reactor-in-oak-ridge/ | https://www.federalregister.gov/documents/2023/11/22/2023-25818/kairos-power-llc-hermes-2 | https://www.federalregister.gov/documents/2024/04/26/2024-08964/kairos-power-llc-hermes-2-draft-environmental-assessment-and-draft-finding-of-no-significant-impact | https://www.federalregister.gov/documents/2024/09/05/2024-19914/kairos-power-llc-hermes-2-environmental-assessment-finding-of-no-significant-impact-and-exemptions | https://www.federalregister.gov/documents/2024/11/29/2024-28025/kairos-power-llc-hermes-2-test-reactor-facility-construction-permits | https://www.kairospower.com/updates/google-and-kairos-power-partner-to-deploy-500-mw-of-clean-electricity-generation | https://www.kairospower.com/updates/kairos-power-breaks-ground-on-hermes-2-demonstration-plant | https://www.nrc.gov/reactors/non-power/new-facility-licensing/hermes2-kairos | https://www.world-nuclear-news.org/articles/google-kairos-power-tva-announce-collaboration</x:v>
      </x:c>
      <x:c r="AK3" s="20" t="str">
        <x:v>https://www.compute-atlas.com/api/facilities?state=TN</x:v>
      </x:c>
      <x:c r="AL3" s="24" t="str">
        <x:v>https://www.compute-atlas.com/api/facilities?state=TN</x:v>
      </x:c>
      <x:c r="AM3" s="24" t="str">
        <x:v>[{"date": "2024-11-21", "note": "NRC issues Hermes 2 construction permit (first Gen IV power-reactor construction permit; Docket Nos. 50-611 and 50-612)", "status": "permitted", "sourceIndex": 1}, {"date": "2026-04-17", "note": "Kairos Power breaks ground on Hermes 2 at the Heritage Center/K-33 site", "status": "under_construction", "sourceIndex": 5}]</x:v>
      </x:c>
      <x:c r="AN3" s="20" t="str">
        <x:v>support_infrastructure</x:v>
      </x:c>
      <x:c r="AO3" s="20" t="str">
        <x:v>False</x:v>
      </x:c>
      <x:c r="AP3" s="24" t="str">
        <x:v>kairos power</x:v>
      </x:c>
      <x:c r="AQ3" s="20" t="str">
        <x:v>kairos power hermes 2</x:v>
      </x:c>
      <x:c r="AR3" s="21" t="str"/>
    </x:row>
  </x:sheetData>
  <x:pageMargins left="0.7" right="0.7" top="0.75" bottom="0.75" header="0.3" footer="0.3"/>
  <x:tableParts count="1">
    <x:tablePart xmlns:r="http://schemas.openxmlformats.org/officeDocument/2006/relationships" r:id="R1fae5df897da404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8" hidden="0" customWidth="1"/>
    <x:col min="3" max="3" width="38" hidden="0" customWidth="1"/>
    <x:col min="4" max="4" width="38" hidden="0" customWidth="1"/>
    <x:col min="5" max="5" width="72" hidden="0" customWidth="1"/>
  </x:cols>
  <x:sheetData>
    <x:row r="1" ht="32" customHeight="1">
      <x:c r="A1" s="9" t="str">
        <x:v>canonical_field</x:v>
      </x:c>
      <x:c r="B1" s="10" t="str">
        <x:v>peeringdb</x:v>
      </x:c>
      <x:c r="C1" s="10" t="str">
        <x:v>fractracker</x:v>
      </x:c>
      <x:c r="D1" s="10" t="str">
        <x:v>compute_atlas</x:v>
      </x:c>
      <x:c r="E1" s="11" t="str">
        <x:v>notes</x:v>
      </x:c>
    </x:row>
    <x:row r="2" ht="15" hidden="0" customHeight="1">
      <x:c r="A2" s="13" t="str">
        <x:v>facility_name</x:v>
      </x:c>
      <x:c r="B2" s="14" t="str">
        <x:v>name</x:v>
      </x:c>
      <x:c r="C2" s="14" t="str">
        <x:v>attributes.facility_name</x:v>
      </x:c>
      <x:c r="D2" s="14" t="str">
        <x:v>name</x:v>
      </x:c>
      <x:c r="E2" s="43" t="str">
        <x:v>Display name from each source.</x:v>
      </x:c>
    </x:row>
    <x:row r="3" ht="15" hidden="0" customHeight="1">
      <x:c r="A3" s="16" t="str">
        <x:v>operator</x:v>
      </x:c>
      <x:c r="B3" s="17" t="str">
        <x:v>org_name</x:v>
      </x:c>
      <x:c r="C3" s="17" t="str">
        <x:v>attributes.operator_name</x:v>
      </x:c>
      <x:c r="D3" s="17" t="str">
        <x:v>operator</x:v>
      </x:c>
      <x:c r="E3" s="44" t="str">
        <x:v>Blank values are preserved; no operator is invented.</x:v>
      </x:c>
    </x:row>
    <x:row r="4" ht="15" hidden="0" customHeight="1">
      <x:c r="A4" s="16" t="str">
        <x:v>address</x:v>
      </x:c>
      <x:c r="B4" s="17" t="str">
        <x:v>address1</x:v>
      </x:c>
      <x:c r="C4" s="17" t="str">
        <x:v>attributes.address</x:v>
      </x:c>
      <x:c r="D4" s="17" t="str">
        <x:v>location.street (when present)</x:v>
      </x:c>
      <x:c r="E4" s="44" t="str">
        <x:v>Suite/unit text is retained in the display field.</x:v>
      </x:c>
    </x:row>
    <x:row r="5" ht="15" hidden="0" customHeight="1">
      <x:c r="A5" s="16" t="str">
        <x:v>latitude / longitude</x:v>
      </x:c>
      <x:c r="B5" s="17" t="str">
        <x:v>latitude / longitude</x:v>
      </x:c>
      <x:c r="C5" s="17" t="str">
        <x:v>attributes.lat / long; geometry fallback</x:v>
      </x:c>
      <x:c r="D5" s="17" t="str">
        <x:v>location.lat / lon</x:v>
      </x:c>
      <x:c r="E5" s="44" t="str">
        <x:v>WGS84 decimal degrees.</x:v>
      </x:c>
    </x:row>
    <x:row r="6" ht="15" hidden="0" customHeight="1">
      <x:c r="A6" s="16" t="str">
        <x:v>location_precision</x:v>
      </x:c>
      <x:c r="B6" s="17" t="str">
        <x:v>derived: address_or_site</x:v>
      </x:c>
      <x:c r="C6" s="17" t="str">
        <x:v>derived from location_confidence</x:v>
      </x:c>
      <x:c r="D6" s="17" t="str">
        <x:v>location.precision</x:v>
      </x:c>
      <x:c r="E6" s="44" t="str">
        <x:v>Source-specific precision is not treated as a common accuracy guarantee.</x:v>
      </x:c>
    </x:row>
    <x:row r="7" ht="26.399999618530273" hidden="0" customHeight="1">
      <x:c r="A7" s="16" t="str">
        <x:v>status_normalized</x:v>
      </x:c>
      <x:c r="B7" s="17" t="str">
        <x:v>status plus decommissioned/closed note override</x:v>
      </x:c>
      <x:c r="C7" s="17" t="str">
        <x:v>attributes.status</x:v>
      </x:c>
      <x:c r="D7" s="17" t="str">
        <x:v>status</x:v>
      </x:c>
      <x:c r="E7" s="44" t="str">
        <x:v>Mapped to operational, expanding, under_construction, proposed, cancelled, suspended, or decommissioned.</x:v>
      </x:c>
    </x:row>
    <x:row r="8" ht="15" hidden="0" customHeight="1">
      <x:c r="A8" s="16" t="str">
        <x:v>facility_type</x:v>
      </x:c>
      <x:c r="B8" s="17" t="str">
        <x:v>derived: interconnection_facility</x:v>
      </x:c>
      <x:c r="C8" s="17" t="str">
        <x:v>derived: data_center</x:v>
      </x:c>
      <x:c r="D8" s="17" t="str">
        <x:v>facilityType</x:v>
      </x:c>
      <x:c r="E8" s="44" t="str">
        <x:v>Power-generation records remain in audit data but are excluded from the facility master.</x:v>
      </x:c>
    </x:row>
    <x:row r="9" ht="15" hidden="0" customHeight="1">
      <x:c r="A9" s="16" t="str">
        <x:v>capacity_mw</x:v>
      </x:c>
      <x:c r="B9" s="17" t="str"/>
      <x:c r="C9" s="17" t="str">
        <x:v>attributes.mw</x:v>
      </x:c>
      <x:c r="D9" s="17" t="str"/>
      <x:c r="E9" s="44" t="str">
        <x:v>Blank when not published.</x:v>
      </x:c>
    </x:row>
    <x:row r="10" ht="15" hidden="0" customHeight="1">
      <x:c r="A10" s="19" t="str">
        <x:v>evidence_urls</x:v>
      </x:c>
      <x:c r="B10" s="20" t="str">
        <x:v>website</x:v>
      </x:c>
      <x:c r="C10" s="20" t="str">
        <x:v>information_source and info_source_1..8</x:v>
      </x:c>
      <x:c r="D10" s="20" t="str">
        <x:v>sources[].url</x:v>
      </x:c>
      <x:c r="E10" s="45" t="str">
        <x:v>Pipe-separated URLs for row-level provenance.</x:v>
      </x:c>
    </x:row>
  </x:sheetData>
  <x:pageMargins left="0.7" right="0.7" top="0.75" bottom="0.75" header="0.3" footer="0.3"/>
  <x:tableParts count="1">
    <x:tablePart xmlns:r="http://schemas.openxmlformats.org/officeDocument/2006/relationships" r:id="R84052a2e27ed4c87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38" hidden="0" customWidth="1"/>
    <x:col min="4" max="4" width="30" hidden="0" customWidth="1"/>
    <x:col min="5" max="5" width="18" hidden="0" customWidth="1"/>
    <x:col min="6" max="6" width="28" hidden="0" customWidth="1"/>
    <x:col min="7" max="7" width="16" hidden="0" customWidth="1"/>
    <x:col min="8" max="8" width="16" hidden="0" customWidth="1"/>
    <x:col min="9" max="9" width="8" hidden="0" customWidth="1"/>
    <x:col min="10" max="10" width="12" hidden="0" customWidth="1"/>
    <x:col min="11" max="11" width="13" hidden="0" customWidth="1"/>
    <x:col min="12" max="12" width="13" hidden="0" customWidth="1"/>
    <x:col min="13" max="13" width="50" hidden="0" customWidth="1"/>
    <x:col min="14" max="14" width="28" hidden="0" customWidth="1"/>
    <x:col min="15" max="15" width="60" hidden="0" customWidth="1"/>
    <x:col min="16" max="16" width="14" hidden="0" customWidth="1"/>
    <x:col min="17" max="17" width="52" hidden="0" customWidth="1"/>
    <x:col min="18" max="18" width="18" hidden="0" customWidth="1"/>
    <x:col min="19" max="19" width="18" hidden="0" customWidth="1"/>
    <x:col min="20" max="20" width="38" hidden="0" customWidth="1"/>
  </x:cols>
  <x:sheetData>
    <x:row r="1">
      <x:c r="A1" s="84" t="str">
        <x:v>candidate_id</x:v>
      </x:c>
      <x:c r="B1" s="84" t="str">
        <x:v>master_facility_id</x:v>
      </x:c>
      <x:c r="C1" s="84" t="str">
        <x:v>candidate_site_name</x:v>
      </x:c>
      <x:c r="D1" s="84" t="str">
        <x:v>candidate_type</x:v>
      </x:c>
      <x:c r="E1" s="84" t="str">
        <x:v>candidate_confidence</x:v>
      </x:c>
      <x:c r="F1" s="84" t="str">
        <x:v>address</x:v>
      </x:c>
      <x:c r="G1" s="84" t="str">
        <x:v>city</x:v>
      </x:c>
      <x:c r="H1" s="84" t="str">
        <x:v>county</x:v>
      </x:c>
      <x:c r="I1" s="84" t="str">
        <x:v>state</x:v>
      </x:c>
      <x:c r="J1" s="84" t="str">
        <x:v>postal_code</x:v>
      </x:c>
      <x:c r="K1" s="84" t="str">
        <x:v>latitude</x:v>
      </x:c>
      <x:c r="L1" s="84" t="str">
        <x:v>longitude</x:v>
      </x:c>
      <x:c r="M1" s="84" t="str">
        <x:v>evidence_basis</x:v>
      </x:c>
      <x:c r="N1" s="84" t="str">
        <x:v>source</x:v>
      </x:c>
      <x:c r="O1" s="84" t="str">
        <x:v>evidence_urls</x:v>
      </x:c>
      <x:c r="P1" s="84" t="str">
        <x:v>last_verified</x:v>
      </x:c>
      <x:c r="Q1" s="84" t="str">
        <x:v>review_note</x:v>
      </x:c>
      <x:c r="R1" s="121" t="str">
        <x:v>location_precision</x:v>
      </x:c>
      <x:c r="S1" s="121" t="str">
        <x:v>location_confidence</x:v>
      </x:c>
      <x:c r="T1" s="121" t="str">
        <x:v>coordinate_source</x:v>
      </x:c>
    </x:row>
    <x:row r="2">
      <x:c r="A2" s="85" t="str">
        <x:v>TNCAND-001</x:v>
      </x:c>
      <x:c r="B2" s="85" t="str">
        <x:v>TNDC-006</x:v>
      </x:c>
      <x:c r="C2" s="85" t="str">
        <x:v>Cielo Montgomery County AI Campus</x:v>
      </x:c>
      <x:c r="D2" s="85" t="str">
        <x:v>unverified_market_listing</x:v>
      </x:c>
      <x:c r="E2" s="85" t="str">
        <x:v>low</x:v>
      </x:c>
      <x:c r="F2" s="85"/>
      <x:c r="G2" s="85" t="str">
        <x:v>Clarksville</x:v>
      </x:c>
      <x:c r="H2" s="85" t="str">
        <x:v>Montgomery</x:v>
      </x:c>
      <x:c r="I2" s="85" t="str">
        <x:v>TN</x:v>
      </x:c>
      <x:c r="J2" s="85" t="str">
        <x:v>37040</x:v>
      </x:c>
      <x:c r="K2" s="117" t="n">
        <x:v>36.57269</x:v>
      </x:c>
      <x:c r="L2" s="117" t="n">
        <x:v>-87.3423</x:v>
      </x:c>
      <x:c r="M2" s="85" t="str">
        <x:v>FracTracker/Data Center Watch ArcGIS record identifies a proposed Cielo Digital Infrastructure site in Clarksville/Montgomery County at 36.57269, -87.34230, while explicitly rating location confidence Low.</x:v>
      </x:c>
      <x:c r="N2" s="85" t="str">
        <x:v>server_country | datacenterwatch | fractracker_arcgis</x:v>
      </x:c>
      <x:c r="O2" s="85" t="str">
        <x:v>https://www.servercountry.org/policy/tennessee/ | https://datacenterwatch.ai/proposals/fractracker-tn-unknown-operator-cielo-digital-infrastructure-686 | https://services1.arcgis.com/4yjifSiIG17X0gW4/arcgis/rest/services/Data_Centers/FeatureServer/0/query?where=OBJECTID%3D5239&amp;outFields=*&amp;returnGeometry=true&amp;f=json</x:v>
      </x:c>
      <x:c r="P2" s="85" t="str">
        <x:v>2026-09-03</x:v>
      </x:c>
      <x:c r="Q2" s="85" t="str">
        <x:v>Candidate only. Coordinate is source-reported and LOW confidence; do not use as confirmed treatment location without independent local confirmation.</x:v>
      </x:c>
      <x:c r="R2" s="85" t="str">
        <x:v>approximate</x:v>
      </x:c>
      <x:c r="S2" s="85" t="str">
        <x:v>low</x:v>
      </x:c>
      <x:c r="T2" s="85" t="str">
        <x:v>FracTracker/Data Center Watch ArcGIS OBJECTID 5239</x:v>
      </x:c>
    </x:row>
    <x:row r="3">
      <x:c r="A3" s="85" t="str">
        <x:v>TNCAND-002</x:v>
      </x:c>
      <x:c r="B3" s="85"/>
      <x:c r="C3" s="85" t="str">
        <x:v>Horizon Center TVA Certified Data Center Site</x:v>
      </x:c>
      <x:c r="D3" s="85" t="str">
        <x:v>certified_data_center_site</x:v>
      </x:c>
      <x:c r="E3" s="85" t="str">
        <x:v>high</x:v>
      </x:c>
      <x:c r="F3" s="85" t="str">
        <x:v>Renovare Rd / Horizon Center Development Area 5</x:v>
      </x:c>
      <x:c r="G3" s="85" t="str">
        <x:v>Oak Ridge</x:v>
      </x:c>
      <x:c r="H3" s="85" t="str">
        <x:v>Roane</x:v>
      </x:c>
      <x:c r="I3" s="85" t="str">
        <x:v>TN</x:v>
      </x:c>
      <x:c r="J3" s="85" t="str">
        <x:v>37830</x:v>
      </x:c>
      <x:c r="K3" s="117"/>
      <x:c r="L3" s="117"/>
      <x:c r="M3" s="85" t="str">
        <x:v>Official Oak Ridge sources confirm Horizon Center contains a TVA Certified Data Center Site; current parcel records identify Development Area 5 as Parcel 021-002.04 (~96.5 acres) off Renovare Boulevard. A defensible point coordinate for the historical 28-acre data-center designation has not yet been established.</x:v>
      </x:c>
      <x:c r="N3" s="85" t="str">
        <x:v>oak_ridge_edi | oak_ridge_city | loopnet</x:v>
      </x:c>
      <x:c r="O3" s="85" t="str">
        <x:v>https://www.oakridgeedi.org/find-your-site/horizon-center | https://www.oakridgeedi.org/uploads/Horizon%20Center%20Development%20Map-%20Aug%202023.pdf | https://www.loopnet.com/property/renovare-rd-oak-ridge-tn-37830/47145-021%20%20%20%2000204%20000/</x:v>
      </x:c>
      <x:c r="P3" s="85" t="str">
        <x:v>2026-09-03</x:v>
      </x:c>
      <x:c r="Q3" s="85" t="str">
        <x:v>Keep outside Master. Site narrowed to Horizon Center Development Area 5 / Parcel 021-002.04, but latitude/longitude remain null until a parcel/site coordinate can be verified without approximation beyond the dataset rules.</x:v>
      </x:c>
      <x:c r="R3" s="85" t="str">
        <x:v>approximate_site</x:v>
      </x:c>
      <x:c r="S3" s="85" t="str">
        <x:v>medium</x:v>
      </x:c>
      <x:c r="T3" s="85" t="str">
        <x:v>Horizon Center Development Area 5 / Parcel 021-002.04; representative coordinate not yet defensible</x:v>
      </x:c>
    </x:row>
    <x:row r="4">
      <x:c r="A4" s="85" t="str">
        <x:v>TNCAND-003</x:v>
      </x:c>
      <x:c r="B4" s="85"/>
      <x:c r="C4" s="85" t="str">
        <x:v>Corridor Park Lots 21 &amp; 23 TVA Certified Data Center Site</x:v>
      </x:c>
      <x:c r="D4" s="85" t="str">
        <x:v>certified_data_center_site</x:v>
      </x:c>
      <x:c r="E4" s="85" t="str">
        <x:v>high</x:v>
      </x:c>
      <x:c r="F4" s="85" t="str">
        <x:v>Corridor Park Blvd</x:v>
      </x:c>
      <x:c r="G4" s="85" t="str">
        <x:v>Knoxville</x:v>
      </x:c>
      <x:c r="H4" s="85" t="str">
        <x:v>Knox</x:v>
      </x:c>
      <x:c r="I4" s="85" t="str">
        <x:v>TN</x:v>
      </x:c>
      <x:c r="J4" s="85" t="str">
        <x:v>37932</x:v>
      </x:c>
      <x:c r="K4" s="117" t="n">
        <x:v>35.92338</x:v>
      </x:c>
      <x:c r="L4" s="117" t="n">
        <x:v>-84.14133</x:v>
      </x:c>
      <x:c r="M4" s="85" t="str">
        <x:v>MyEListing identifies contiguous Lots 21 and 23 (10.26 acres) as a TVA-certified data-center site; the listing's mapped/Street View location provides 35.92338, -84.14133.</x:v>
      </x:c>
      <x:c r="N4" s="85" t="str">
        <x:v>myelisting | knoxnews</x:v>
      </x:c>
      <x:c r="O4" s="85" t="str">
        <x:v>https://myelisting.com/listing/248269/corridor-park-blvd-knoxville-tn-37932/ | https://archive.knoxnews.com/business/356013471.html/</x:v>
      </x:c>
      <x:c r="P4" s="85" t="str">
        <x:v>2026-09-03</x:v>
      </x:c>
      <x:c r="Q4" s="85" t="str">
        <x:v>Certified site opportunity, not a built data center. Coordinate is listing/site level.</x:v>
      </x:c>
      <x:c r="R4" s="85" t="str">
        <x:v>address_or_site</x:v>
      </x:c>
      <x:c r="S4" s="85" t="str">
        <x:v>high</x:v>
      </x:c>
      <x:c r="T4" s="85" t="str">
        <x:v>MyEListing Street View/listing coordinate</x:v>
      </x:c>
    </x:row>
    <x:row r="5">
      <x:c r="A5" s="85" t="str">
        <x:v>TNCAND-004</x:v>
      </x:c>
      <x:c r="B5" s="85"/>
      <x:c r="C5" s="85" t="str">
        <x:v>Tiger Jones Technology Park Enterprise Data Center Site</x:v>
      </x:c>
      <x:c r="D5" s="85" t="str">
        <x:v>certified_primary_data_center_site</x:v>
      </x:c>
      <x:c r="E5" s="85" t="str">
        <x:v>high</x:v>
      </x:c>
      <x:c r="F5" s="85" t="str">
        <x:v>3300 Ridgecrest Road</x:v>
      </x:c>
      <x:c r="G5" s="85" t="str">
        <x:v>Jackson</x:v>
      </x:c>
      <x:c r="H5" s="85" t="str">
        <x:v>Madison</x:v>
      </x:c>
      <x:c r="I5" s="85" t="str">
        <x:v>TN</x:v>
      </x:c>
      <x:c r="J5" s="85" t="str">
        <x:v>38305</x:v>
      </x:c>
      <x:c r="K5" s="117" t="n">
        <x:v>35.671471</x:v>
      </x:c>
      <x:c r="L5" s="117" t="n">
        <x:v>-88.764892</x:v>
      </x:c>
      <x:c r="M5" s="85" t="str">
        <x:v>WTIA site materials identify the 120.6-acre Tiger Jones Technology Park Primary/Enterprise Data Center Site and provide the site coordinates 35.671471, -88.764892.</x:v>
      </x:c>
      <x:c r="N5" s="85" t="str">
        <x:v>wtia | utm_economic_development</x:v>
      </x:c>
      <x:c r="O5" s="85" t="str">
        <x:v>https://www.wtia.org/sites/id/40 | https://www.wtia.org/images/uploads/content_files/tiger-jones-tech-park.pdf | https://www.utm.edu/offices-and-services/office-of-economic-development/_media/Madison%20County%20Opportunity%20Zone%20Prospectus.pdf</x:v>
      </x:c>
      <x:c r="P5" s="85" t="str">
        <x:v>2026-09-03</x:v>
      </x:c>
      <x:c r="Q5" s="85" t="str">
        <x:v>Certified site opportunity; not a built data center. Coordinate comes from WTIA site specification.</x:v>
      </x:c>
      <x:c r="R5" s="85" t="str">
        <x:v>address_or_site</x:v>
      </x:c>
      <x:c r="S5" s="85" t="str">
        <x:v>high</x:v>
      </x:c>
      <x:c r="T5" s="85" t="str">
        <x:v>WTIA Tiger Jones Technology Park site specification</x:v>
      </x:c>
    </x:row>
  </x:sheetData>
  <x:dataValidations count="6">
    <x:dataValidation type="list" sqref="E2:E2000">
      <x:formula1>"high,medium,low"</x:formula1>
    </x:dataValidation>
    <x:dataValidation type="list" sqref="I2:I2000">
      <x:formula1>"TN"</x:formula1>
    </x:dataValidation>
    <x:dataValidation type="decimal" operator="between" sqref="K2:K2000">
      <x:formula1>-90</x:formula1>
      <x:formula2>90</x:formula2>
    </x:dataValidation>
    <x:dataValidation type="decimal" operator="between" sqref="L2:L2000">
      <x:formula1>-180</x:formula1>
      <x:formula2>180</x:formula2>
    </x:dataValidation>
    <x:dataValidation type="list" sqref="R2:R2000">
      <x:formula1>"exact,address_or_site,approximate_site,approximate,area_or_city"</x:formula1>
    </x:dataValidation>
    <x:dataValidation type="list" sqref="S2:S2000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2505bf3156463f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24" hidden="0" customWidth="1"/>
    <x:col min="5" max="5" width="34" hidden="0" customWidth="1"/>
    <x:col min="6" max="6" width="34" hidden="0" customWidth="1"/>
    <x:col min="7" max="7" width="58" hidden="0" customWidth="1"/>
    <x:col min="8" max="8" width="44" hidden="0" customWidth="1"/>
  </x:cols>
  <x:sheetData>
    <x:row r="1">
      <x:c r="A1" s="84" t="str">
        <x:v>date</x:v>
      </x:c>
      <x:c r="B1" s="84" t="str">
        <x:v>facility_id</x:v>
      </x:c>
      <x:c r="C1" s="84" t="str">
        <x:v>action</x:v>
      </x:c>
      <x:c r="D1" s="84" t="str">
        <x:v>field_changed</x:v>
      </x:c>
      <x:c r="E1" s="84" t="str">
        <x:v>old_value</x:v>
      </x:c>
      <x:c r="F1" s="84" t="str">
        <x:v>new_value</x:v>
      </x:c>
      <x:c r="G1" s="84" t="str">
        <x:v>evidence</x:v>
      </x:c>
      <x:c r="H1" s="84" t="str">
        <x:v>reason</x:v>
      </x:c>
    </x:row>
    <x:row r="2">
      <x:c r="A2" s="85" t="str">
        <x:v>2026-09-03</x:v>
      </x:c>
      <x:c r="B2" s="85"/>
      <x:c r="C2" s="85" t="str">
        <x:v>UPDATE</x:v>
      </x:c>
      <x:c r="D2" s="85" t="str">
        <x:v>schema</x:v>
      </x:c>
      <x:c r="E2" s="85" t="str">
        <x:v>Master A:AF preserved</x:v>
      </x:c>
      <x:c r="F2" s="85" t="str">
        <x:v>Added AG:AO QA/provenance fields</x:v>
      </x:c>
      <x:c r="G2" s="85" t="str">
        <x:v>User compatibility specification</x:v>
      </x:c>
      <x:c r="H2" s="85" t="str">
        <x:v>Additive schema evolution only</x:v>
      </x:c>
    </x:row>
    <x:row r="3">
      <x:c r="A3" s="85" t="str">
        <x:v>2026-09-03</x:v>
      </x:c>
      <x:c r="B3" s="85"/>
      <x:c r="C3" s="85" t="str">
        <x:v>ADD</x:v>
      </x:c>
      <x:c r="D3" s="85" t="str">
        <x:v>Candidate_Sites</x:v>
      </x:c>
      <x:c r="E3" s="85"/>
      <x:c r="F3" s="85" t="str">
        <x:v>4 explicit candidate records</x:v>
      </x:c>
      <x:c r="G3" s="85" t="str">
        <x:v>Public URLs stored in sheet</x:v>
      </x:c>
      <x:c r="H3" s="85" t="str">
        <x:v>Candidate layer added without changing status_normalized vocabulary</x:v>
      </x:c>
    </x:row>
    <x:row r="4">
      <x:c r="A4" s="85" t="str">
        <x:v>2026-09-03</x:v>
      </x:c>
      <x:c r="B4" s="85"/>
      <x:c r="C4" s="85" t="str">
        <x:v>ADD</x:v>
      </x:c>
      <x:c r="D4" s="85" t="str">
        <x:v>Raw_Aligned</x:v>
      </x:c>
      <x:c r="E4" s="85" t="str">
        <x:v>61 source records</x:v>
      </x:c>
      <x:c r="F4" s="85" t="str">
        <x:v>83 source records</x:v>
      </x:c>
      <x:c r="G4" s="85" t="str">
        <x:v>22 public verification rows</x:v>
      </x:c>
      <x:c r="H4" s="85" t="str">
        <x:v>Improve cross-source traceability</x:v>
      </x:c>
    </x:row>
    <x:row r="5">
      <x:c r="A5" s="85" t="str">
        <x:v>2026-09-03</x:v>
      </x:c>
      <x:c r="B5" s="85" t="str">
        <x:v>TNDC-005</x:v>
      </x:c>
      <x:c r="C5" s="85" t="str">
        <x:v>UPDATE</x:v>
      </x:c>
      <x:c r="D5" s="85" t="str">
        <x:v>operator</x:v>
      </x:c>
      <x:c r="E5" s="85" t="str">
        <x:v>Peace Communications</x:v>
      </x:c>
      <x:c r="F5" s="85" t="str">
        <x:v>Scipio Technologies</x:v>
      </x:c>
      <x:c r="G5" s="85" t="str">
        <x:v>https://scipiotech.com/support/</x:v>
      </x:c>
      <x:c r="H5" s="85" t="str">
        <x:v>Evidence-backed update</x:v>
      </x:c>
    </x:row>
    <x:row r="6">
      <x:c r="A6" s="85" t="str">
        <x:v>2026-09-03</x:v>
      </x:c>
      <x:c r="B6" s="85" t="str">
        <x:v>TNDC-005</x:v>
      </x:c>
      <x:c r="C6" s="85" t="str">
        <x:v>UPDATE</x:v>
      </x:c>
      <x:c r="D6" s="85" t="str">
        <x:v>operators</x:v>
      </x:c>
      <x:c r="E6" s="85" t="str">
        <x:v>Peace Communications</x:v>
      </x:c>
      <x:c r="F6" s="85" t="str">
        <x:v>Peace Communications | Scipio Technologies</x:v>
      </x:c>
      <x:c r="G6" s="85" t="str">
        <x:v>https://scipiotech.com/support/</x:v>
      </x:c>
      <x:c r="H6" s="85" t="str">
        <x:v>Evidence-backed update</x:v>
      </x:c>
    </x:row>
    <x:row r="7">
      <x:c r="A7" s="85" t="str">
        <x:v>2026-09-03</x:v>
      </x:c>
      <x:c r="B7" s="85" t="str">
        <x:v>TNDC-005</x:v>
      </x:c>
      <x:c r="C7" s="85" t="str">
        <x:v>UPDATE</x:v>
      </x:c>
      <x:c r="D7" s="85" t="str">
        <x:v>county</x:v>
      </x:c>
      <x:c r="E7" s="85"/>
      <x:c r="F7" s="85" t="str">
        <x:v>Hamilton</x:v>
      </x:c>
      <x:c r="G7" s="85" t="str">
        <x:v>https://scipiotech.com/support/</x:v>
      </x:c>
      <x:c r="H7" s="85" t="str">
        <x:v>Evidence-backed update</x:v>
      </x:c>
    </x:row>
    <x:row r="8">
      <x:c r="A8" s="85" t="str">
        <x:v>2026-09-03</x:v>
      </x:c>
      <x:c r="B8" s="85" t="str">
        <x:v>TNDC-008</x:v>
      </x:c>
      <x:c r="C8" s="85" t="str">
        <x:v>UPDATE</x:v>
      </x:c>
      <x:c r="D8" s="85" t="str">
        <x:v>address</x:v>
      </x:c>
      <x:c r="E8" s="85"/>
      <x:c r="F8" s="85" t="str">
        <x:v>9 FedEx Pkwy</x:v>
      </x:c>
      <x:c r="G8" s="85" t="str">
        <x:v>https://colomap.com/facilities/collierville-enterprise-data-center/</x:v>
      </x:c>
      <x:c r="H8" s="85" t="str">
        <x:v>Evidence-backed update</x:v>
      </x:c>
    </x:row>
    <x:row r="9">
      <x:c r="A9" s="85" t="str">
        <x:v>2026-09-03</x:v>
      </x:c>
      <x:c r="B9" s="85" t="str">
        <x:v>TNDC-008</x:v>
      </x:c>
      <x:c r="C9" s="85" t="str">
        <x:v>UPDATE</x:v>
      </x:c>
      <x:c r="D9" s="85" t="str">
        <x:v>postal_code</x:v>
      </x:c>
      <x:c r="E9" s="85"/>
      <x:c r="F9" s="85" t="str">
        <x:v>38017</x:v>
      </x:c>
      <x:c r="G9" s="85" t="str">
        <x:v>https://colomap.com/facilities/collierville-enterprise-data-center/</x:v>
      </x:c>
      <x:c r="H9" s="85" t="str">
        <x:v>Evidence-backed update</x:v>
      </x:c>
    </x:row>
    <x:row r="10">
      <x:c r="A10" s="85" t="str">
        <x:v>2026-09-03</x:v>
      </x:c>
      <x:c r="B10" s="85" t="str">
        <x:v>TNDC-008</x:v>
      </x:c>
      <x:c r="C10" s="85" t="str">
        <x:v>UPDATE</x:v>
      </x:c>
      <x:c r="D10" s="85" t="str">
        <x:v>location_precision</x:v>
      </x:c>
      <x:c r="E10" s="85" t="str">
        <x:v>approximate</x:v>
      </x:c>
      <x:c r="F10" s="85" t="str">
        <x:v>address_or_site</x:v>
      </x:c>
      <x:c r="G10" s="85" t="str">
        <x:v>https://colomap.com/facilities/collierville-enterprise-data-center/</x:v>
      </x:c>
      <x:c r="H10" s="85" t="str">
        <x:v>Evidence-backed update</x:v>
      </x:c>
    </x:row>
    <x:row r="11">
      <x:c r="A11" s="85" t="str">
        <x:v>2026-09-03</x:v>
      </x:c>
      <x:c r="B11" s="85" t="str">
        <x:v>TNDC-014</x:v>
      </x:c>
      <x:c r="C11" s="85" t="str">
        <x:v>UPDATE</x:v>
      </x:c>
      <x:c r="D11" s="85" t="str">
        <x:v>address</x:v>
      </x:c>
      <x:c r="E11" s="85"/>
      <x:c r="F11" s="85" t="str">
        <x:v>1398 Gateway Dr</x:v>
      </x:c>
      <x:c r="G11" s="85" t="str">
        <x:v>https://baxtel.com/data-center/centersquare-gallatin-nas</x:v>
      </x:c>
      <x:c r="H11" s="85" t="str">
        <x:v>Evidence-backed update</x:v>
      </x:c>
    </x:row>
    <x:row r="12">
      <x:c r="A12" s="85" t="str">
        <x:v>2026-09-03</x:v>
      </x:c>
      <x:c r="B12" s="85" t="str">
        <x:v>TNDC-014</x:v>
      </x:c>
      <x:c r="C12" s="85" t="str">
        <x:v>UPDATE</x:v>
      </x:c>
      <x:c r="D12" s="85" t="str">
        <x:v>postal_code</x:v>
      </x:c>
      <x:c r="E12" s="85"/>
      <x:c r="F12" s="85" t="str">
        <x:v>37066</x:v>
      </x:c>
      <x:c r="G12" s="85" t="str">
        <x:v>https://baxtel.com/data-center/centersquare-gallatin-nas</x:v>
      </x:c>
      <x:c r="H12" s="85" t="str">
        <x:v>Evidence-backed update</x:v>
      </x:c>
    </x:row>
    <x:row r="13">
      <x:c r="A13" s="85" t="str">
        <x:v>2026-09-03</x:v>
      </x:c>
      <x:c r="B13" s="85" t="str">
        <x:v>TNDC-017</x:v>
      </x:c>
      <x:c r="C13" s="85" t="str">
        <x:v>UPDATE</x:v>
      </x:c>
      <x:c r="D13" s="85" t="str">
        <x:v>address</x:v>
      </x:c>
      <x:c r="E13" s="85"/>
      <x:c r="F13" s="85" t="str">
        <x:v>5101 S National Dr</x:v>
      </x:c>
      <x:c r="G13" s="85" t="str">
        <x:v>https://www.datacentermap.com/usa/tennessee/knoxville/bitdeer-knoxville-tennessee/specs/</x:v>
      </x:c>
      <x:c r="H13" s="85" t="str">
        <x:v>Evidence-backed update</x:v>
      </x:c>
    </x:row>
    <x:row r="14">
      <x:c r="A14" s="85" t="str">
        <x:v>2026-09-03</x:v>
      </x:c>
      <x:c r="B14" s="85" t="str">
        <x:v>TNDC-017</x:v>
      </x:c>
      <x:c r="C14" s="85" t="str">
        <x:v>UPDATE</x:v>
      </x:c>
      <x:c r="D14" s="85" t="str">
        <x:v>postal_code</x:v>
      </x:c>
      <x:c r="E14" s="85"/>
      <x:c r="F14" s="85" t="str">
        <x:v>37914</x:v>
      </x:c>
      <x:c r="G14" s="85" t="str">
        <x:v>https://www.datacentermap.com/usa/tennessee/knoxville/bitdeer-knoxville-tennessee/specs/</x:v>
      </x:c>
      <x:c r="H14" s="85" t="str">
        <x:v>Evidence-backed update</x:v>
      </x:c>
    </x:row>
    <x:row r="15">
      <x:c r="A15" s="85" t="str">
        <x:v>2026-09-03</x:v>
      </x:c>
      <x:c r="B15" s="85" t="str">
        <x:v>TNDC-017</x:v>
      </x:c>
      <x:c r="C15" s="85" t="str">
        <x:v>UPDATE</x:v>
      </x:c>
      <x:c r="D15" s="85" t="str">
        <x:v>location_precision</x:v>
      </x:c>
      <x:c r="E15" s="85" t="str">
        <x:v>approximate</x:v>
      </x:c>
      <x:c r="F15" s="85" t="str">
        <x:v>address_or_site</x:v>
      </x:c>
      <x:c r="G15" s="85" t="str">
        <x:v>https://www.datacentermap.com/usa/tennessee/knoxville/bitdeer-knoxville-tennessee/specs/</x:v>
      </x:c>
      <x:c r="H15" s="85" t="str">
        <x:v>Evidence-backed update</x:v>
      </x:c>
    </x:row>
    <x:row r="16">
      <x:c r="A16" s="85" t="str">
        <x:v>2026-09-03</x:v>
      </x:c>
      <x:c r="B16" s="85" t="str">
        <x:v>TNDC-017</x:v>
      </x:c>
      <x:c r="C16" s="85" t="str">
        <x:v>UPDATE</x:v>
      </x:c>
      <x:c r="D16" s="85" t="str">
        <x:v>status_normalized</x:v>
      </x:c>
      <x:c r="E16" s="85" t="str">
        <x:v>under_construction</x:v>
      </x:c>
      <x:c r="F16" s="85" t="str">
        <x:v>operational</x:v>
      </x:c>
      <x:c r="G16" s="85" t="str">
        <x:v>https://www.datacentermap.com/usa/tennessee/knoxville/bitdeer-knoxville-tennessee/specs/</x:v>
      </x:c>
      <x:c r="H16" s="85" t="str">
        <x:v>Evidence-backed update</x:v>
      </x:c>
    </x:row>
    <x:row r="17">
      <x:c r="A17" s="85" t="str">
        <x:v>2026-09-03</x:v>
      </x:c>
      <x:c r="B17" s="85" t="str">
        <x:v>TNDC-017</x:v>
      </x:c>
      <x:c r="C17" s="85" t="str">
        <x:v>UPDATE</x:v>
      </x:c>
      <x:c r="D17" s="85" t="str">
        <x:v>status_values</x:v>
      </x:c>
      <x:c r="E17" s="85" t="str">
        <x:v>under_construction</x:v>
      </x:c>
      <x:c r="F17" s="85" t="str">
        <x:v>operational | under_construction</x:v>
      </x:c>
      <x:c r="G17" s="85" t="str">
        <x:v>https://www.datacentermap.com/usa/tennessee/knoxville/bitdeer-knoxville-tennessee/specs/</x:v>
      </x:c>
      <x:c r="H17" s="85" t="str">
        <x:v>Evidence-backed update</x:v>
      </x:c>
    </x:row>
    <x:row r="18">
      <x:c r="A18" s="85" t="str">
        <x:v>2026-09-03</x:v>
      </x:c>
      <x:c r="B18" s="85" t="str">
        <x:v>TNDC-017</x:v>
      </x:c>
      <x:c r="C18" s="85" t="str">
        <x:v>UPDATE</x:v>
      </x:c>
      <x:c r="D18" s="85" t="str">
        <x:v>status_conflict_flag</x:v>
      </x:c>
      <x:c r="E18" s="85" t="str">
        <x:v>False</x:v>
      </x:c>
      <x:c r="F18" s="85" t="str">
        <x:v>True</x:v>
      </x:c>
      <x:c r="G18" s="85" t="str">
        <x:v>https://www.datacentermap.com/usa/tennessee/knoxville/bitdeer-knoxville-tennessee/specs/</x:v>
      </x:c>
      <x:c r="H18" s="85" t="str">
        <x:v>Evidence-backed update</x:v>
      </x:c>
    </x:row>
    <x:row r="19">
      <x:c r="A19" s="85" t="str">
        <x:v>2026-09-03</x:v>
      </x:c>
      <x:c r="B19" s="85" t="str">
        <x:v>TNDC-018</x:v>
      </x:c>
      <x:c r="C19" s="85" t="str">
        <x:v>UPDATE</x:v>
      </x:c>
      <x:c r="D19" s="85" t="str">
        <x:v>operator</x:v>
      </x:c>
      <x:c r="E19" s="85" t="str">
        <x:v>Peace Communications (Formerly Nexus Group)</x:v>
      </x:c>
      <x:c r="F19" s="85" t="str">
        <x:v>Scipio Technologies</x:v>
      </x:c>
      <x:c r="G19" s="85" t="str">
        <x:v>https://scipiotech.com/support/</x:v>
      </x:c>
      <x:c r="H19" s="85" t="str">
        <x:v>Evidence-backed update</x:v>
      </x:c>
    </x:row>
    <x:row r="20">
      <x:c r="A20" s="85" t="str">
        <x:v>2026-09-03</x:v>
      </x:c>
      <x:c r="B20" s="85" t="str">
        <x:v>TNDC-018</x:v>
      </x:c>
      <x:c r="C20" s="85" t="str">
        <x:v>UPDATE</x:v>
      </x:c>
      <x:c r="D20" s="85" t="str">
        <x:v>operators</x:v>
      </x:c>
      <x:c r="E20" s="85" t="str">
        <x:v>Peace Communications (Formerly Nexus Group)</x:v>
      </x:c>
      <x:c r="F20" s="85" t="str">
        <x:v>Nexus Group | Peace Communications | Scipio Technologies</x:v>
      </x:c>
      <x:c r="G20" s="85" t="str">
        <x:v>https://scipiotech.com/support/</x:v>
      </x:c>
      <x:c r="H20" s="85" t="str">
        <x:v>Evidence-backed update</x:v>
      </x:c>
    </x:row>
    <x:row r="21">
      <x:c r="A21" s="85" t="str">
        <x:v>2026-09-03</x:v>
      </x:c>
      <x:c r="B21" s="85" t="str">
        <x:v>TNDC-018</x:v>
      </x:c>
      <x:c r="C21" s="85" t="str">
        <x:v>UPDATE</x:v>
      </x:c>
      <x:c r="D21" s="85" t="str">
        <x:v>county</x:v>
      </x:c>
      <x:c r="E21" s="85"/>
      <x:c r="F21" s="85" t="str">
        <x:v>Knox</x:v>
      </x:c>
      <x:c r="G21" s="85" t="str">
        <x:v>https://scipiotech.com/support/</x:v>
      </x:c>
      <x:c r="H21" s="85" t="str">
        <x:v>Evidence-backed update</x:v>
      </x:c>
    </x:row>
    <x:row r="22">
      <x:c r="A22" s="85" t="str">
        <x:v>2026-09-03</x:v>
      </x:c>
      <x:c r="B22" s="85" t="str">
        <x:v>TNDC-021</x:v>
      </x:c>
      <x:c r="C22" s="85" t="str">
        <x:v>UPDATE</x:v>
      </x:c>
      <x:c r="D22" s="85" t="str">
        <x:v>status_normalized</x:v>
      </x:c>
      <x:c r="E22" s="85" t="str">
        <x:v>proposed</x:v>
      </x:c>
      <x:c r="F22" s="85" t="str">
        <x:v>cancelled</x:v>
      </x:c>
      <x:c r="G22" s="85" t="str">
        <x:v>https://www.arnold.af.mil/News/Article-Display/Article/4505271/notification-of-ai-data-center-no-proposal/</x:v>
      </x:c>
      <x:c r="H22" s="85" t="str">
        <x:v>Evidence-backed update</x:v>
      </x:c>
    </x:row>
    <x:row r="23">
      <x:c r="A23" s="85" t="str">
        <x:v>2026-09-03</x:v>
      </x:c>
      <x:c r="B23" s="85" t="str">
        <x:v>TNDC-021</x:v>
      </x:c>
      <x:c r="C23" s="85" t="str">
        <x:v>UPDATE</x:v>
      </x:c>
      <x:c r="D23" s="85" t="str">
        <x:v>status_values</x:v>
      </x:c>
      <x:c r="E23" s="85" t="str">
        <x:v>proposed</x:v>
      </x:c>
      <x:c r="F23" s="85" t="str">
        <x:v>proposed | no_proposal</x:v>
      </x:c>
      <x:c r="G23" s="85" t="str">
        <x:v>https://www.arnold.af.mil/News/Article-Display/Article/4505271/notification-of-ai-data-center-no-proposal/</x:v>
      </x:c>
      <x:c r="H23" s="85" t="str">
        <x:v>Evidence-backed update</x:v>
      </x:c>
    </x:row>
    <x:row r="24">
      <x:c r="A24" s="85" t="str">
        <x:v>2026-09-03</x:v>
      </x:c>
      <x:c r="B24" s="85" t="str">
        <x:v>TNDC-021</x:v>
      </x:c>
      <x:c r="C24" s="85" t="str">
        <x:v>UPDATE</x:v>
      </x:c>
      <x:c r="D24" s="85" t="str">
        <x:v>status_conflict_flag</x:v>
      </x:c>
      <x:c r="E24" s="85" t="str">
        <x:v>False</x:v>
      </x:c>
      <x:c r="F24" s="85" t="str">
        <x:v>True</x:v>
      </x:c>
      <x:c r="G24" s="85" t="str">
        <x:v>https://www.arnold.af.mil/News/Article-Display/Article/4505271/notification-of-ai-data-center-no-proposal/</x:v>
      </x:c>
      <x:c r="H24" s="85" t="str">
        <x:v>Evidence-backed update</x:v>
      </x:c>
    </x:row>
    <x:row r="25">
      <x:c r="A25" s="85" t="str">
        <x:v>2026-09-03</x:v>
      </x:c>
      <x:c r="B25" s="85" t="str">
        <x:v>TNDC-024</x:v>
      </x:c>
      <x:c r="C25" s="85" t="str">
        <x:v>UPDATE</x:v>
      </x:c>
      <x:c r="D25" s="85" t="str">
        <x:v>address</x:v>
      </x:c>
      <x:c r="E25" s="85"/>
      <x:c r="F25" s="85" t="str">
        <x:v>204 Red Rd, Ste 200</x:v>
      </x:c>
      <x:c r="G25" s="85" t="str">
        <x:v>https://www.tn.gov/ecd/news/2015/7/15/litewire-llc-to-open-new-facility-in-warren-county.html</x:v>
      </x:c>
      <x:c r="H25" s="85" t="str">
        <x:v>Evidence-backed update</x:v>
      </x:c>
    </x:row>
    <x:row r="26">
      <x:c r="A26" s="85" t="str">
        <x:v>2026-09-03</x:v>
      </x:c>
      <x:c r="B26" s="85" t="str">
        <x:v>TNDC-024</x:v>
      </x:c>
      <x:c r="C26" s="85" t="str">
        <x:v>UPDATE</x:v>
      </x:c>
      <x:c r="D26" s="85" t="str">
        <x:v>postal_code</x:v>
      </x:c>
      <x:c r="E26" s="85"/>
      <x:c r="F26" s="85" t="str">
        <x:v>37110</x:v>
      </x:c>
      <x:c r="G26" s="85" t="str">
        <x:v>https://www.tn.gov/ecd/news/2015/7/15/litewire-llc-to-open-new-facility-in-warren-county.html</x:v>
      </x:c>
      <x:c r="H26" s="85" t="str">
        <x:v>Evidence-backed update</x:v>
      </x:c>
    </x:row>
    <x:row r="27">
      <x:c r="A27" s="85" t="str">
        <x:v>2026-09-03</x:v>
      </x:c>
      <x:c r="B27" s="85" t="str">
        <x:v>TNDC-027</x:v>
      </x:c>
      <x:c r="C27" s="85" t="str">
        <x:v>UPDATE</x:v>
      </x:c>
      <x:c r="D27" s="85" t="str">
        <x:v>county</x:v>
      </x:c>
      <x:c r="E27" s="85"/>
      <x:c r="F27" s="85" t="str">
        <x:v>Shelby</x:v>
      </x:c>
      <x:c r="G27" s="85" t="str">
        <x:v>https://www.edgeconnex.com/wp-content/uploads/2023/06/ECX-22-39-MEMPHIS-2023-DATA-SHEET-V3.pdf</x:v>
      </x:c>
      <x:c r="H27" s="85" t="str">
        <x:v>Evidence-backed update</x:v>
      </x:c>
    </x:row>
    <x:row r="28">
      <x:c r="A28" s="85" t="str">
        <x:v>2026-09-03</x:v>
      </x:c>
      <x:c r="B28" s="85" t="str">
        <x:v>TNDC-028</x:v>
      </x:c>
      <x:c r="C28" s="85" t="str">
        <x:v>UPDATE</x:v>
      </x:c>
      <x:c r="D28" s="85" t="str">
        <x:v>county</x:v>
      </x:c>
      <x:c r="E28" s="85"/>
      <x:c r="F28" s="85" t="str">
        <x:v>Shelby</x:v>
      </x:c>
      <x:c r="G28" s="85" t="str">
        <x:v>https://www.expedient.com/data-centers/memphis/</x:v>
      </x:c>
      <x:c r="H28" s="85" t="str">
        <x:v>Evidence-backed update</x:v>
      </x:c>
    </x:row>
    <x:row r="29">
      <x:c r="A29" s="85" t="str">
        <x:v>2026-09-03</x:v>
      </x:c>
      <x:c r="B29" s="85" t="str">
        <x:v>TNDC-029</x:v>
      </x:c>
      <x:c r="C29" s="85" t="str">
        <x:v>UPDATE</x:v>
      </x:c>
      <x:c r="D29" s="85" t="str">
        <x:v>county</x:v>
      </x:c>
      <x:c r="E29" s="85"/>
      <x:c r="F29" s="85" t="str">
        <x:v>Shelby</x:v>
      </x:c>
      <x:c r="G29" s="85" t="str">
        <x:v>https://www.datacentermap.com/usa/tennessee/memphis/level3-memphis1/</x:v>
      </x:c>
      <x:c r="H29" s="85" t="str">
        <x:v>Evidence-backed update</x:v>
      </x:c>
    </x:row>
    <x:row r="30">
      <x:c r="A30" s="85" t="str">
        <x:v>2026-09-03</x:v>
      </x:c>
      <x:c r="B30" s="85" t="str">
        <x:v>TNDC-033</x:v>
      </x:c>
      <x:c r="C30" s="85" t="str">
        <x:v>UPDATE</x:v>
      </x:c>
      <x:c r="D30" s="85" t="str">
        <x:v>county</x:v>
      </x:c>
      <x:c r="E30" s="85"/>
      <x:c r="F30" s="85" t="str">
        <x:v>Davidson</x:v>
      </x:c>
      <x:c r="G30" s="85" t="str">
        <x:v>https://static.datacentermap.com/company/edgeconnex/datacenter5546/EDCNAS01%20-%20Data%20Sheet.pdf</x:v>
      </x:c>
      <x:c r="H30" s="85" t="str">
        <x:v>Evidence-backed update</x:v>
      </x:c>
    </x:row>
    <x:row r="31">
      <x:c r="A31" s="85" t="str">
        <x:v>2026-09-03</x:v>
      </x:c>
      <x:c r="B31" s="85" t="str">
        <x:v>TNDC-035</x:v>
      </x:c>
      <x:c r="C31" s="85" t="str">
        <x:v>UPDATE</x:v>
      </x:c>
      <x:c r="D31" s="85" t="str">
        <x:v>county</x:v>
      </x:c>
      <x:c r="E31" s="85"/>
      <x:c r="F31" s="85" t="str">
        <x:v>Davidson</x:v>
      </x:c>
      <x:c r="G31" s="85" t="str">
        <x:v>https://www.datacentermap.com/usa/tennessee/nashville/h5-nashville/</x:v>
      </x:c>
      <x:c r="H31" s="85" t="str">
        <x:v>Evidence-backed update</x:v>
      </x:c>
    </x:row>
    <x:row r="32">
      <x:c r="A32" s="85" t="str">
        <x:v>2026-09-03</x:v>
      </x:c>
      <x:c r="B32" s="85" t="str">
        <x:v>TNDC-036</x:v>
      </x:c>
      <x:c r="C32" s="85" t="str">
        <x:v>UPDATE</x:v>
      </x:c>
      <x:c r="D32" s="85" t="str">
        <x:v>county</x:v>
      </x:c>
      <x:c r="E32" s="85"/>
      <x:c r="F32" s="85" t="str">
        <x:v>Davidson</x:v>
      </x:c>
      <x:c r="G32" s="85" t="str">
        <x:v>https://www.wsmv.com/2026/06/04/how-many-data-centers-are-there-nashville-heres-map-where-theyre-located/</x:v>
      </x:c>
      <x:c r="H32" s="85" t="str">
        <x:v>Evidence-backed update</x:v>
      </x:c>
    </x:row>
    <x:row r="33">
      <x:c r="A33" s="85" t="str">
        <x:v>2026-09-03</x:v>
      </x:c>
      <x:c r="B33" s="85" t="str">
        <x:v>TNDC-037</x:v>
      </x:c>
      <x:c r="C33" s="85" t="str">
        <x:v>UPDATE</x:v>
      </x:c>
      <x:c r="D33" s="85" t="str">
        <x:v>county</x:v>
      </x:c>
      <x:c r="E33" s="85"/>
      <x:c r="F33" s="85" t="str">
        <x:v>Davidson</x:v>
      </x:c>
      <x:c r="G33" s="85" t="str">
        <x:v>https://www.wsmv.com/2026/06/04/how-many-data-centers-are-there-nashville-heres-map-where-theyre-located/</x:v>
      </x:c>
      <x:c r="H33" s="85" t="str">
        <x:v>Evidence-backed update</x:v>
      </x:c>
    </x:row>
    <x:row r="34">
      <x:c r="A34" s="85" t="str">
        <x:v>2026-09-03</x:v>
      </x:c>
      <x:c r="B34" s="85" t="str">
        <x:v>TNDC-038</x:v>
      </x:c>
      <x:c r="C34" s="85" t="str">
        <x:v>UPDATE</x:v>
      </x:c>
      <x:c r="D34" s="85" t="str">
        <x:v>operator</x:v>
      </x:c>
      <x:c r="E34" s="85" t="str">
        <x:v>Peace Communications (Formerly Nexus Group)</x:v>
      </x:c>
      <x:c r="F34" s="85" t="str">
        <x:v>Scipio Technologies</x:v>
      </x:c>
      <x:c r="G34" s="85" t="str">
        <x:v>https://scipiotech.com/support/</x:v>
      </x:c>
      <x:c r="H34" s="85" t="str">
        <x:v>Evidence-backed update</x:v>
      </x:c>
    </x:row>
    <x:row r="35">
      <x:c r="A35" s="85" t="str">
        <x:v>2026-09-03</x:v>
      </x:c>
      <x:c r="B35" s="85" t="str">
        <x:v>TNDC-038</x:v>
      </x:c>
      <x:c r="C35" s="85" t="str">
        <x:v>UPDATE</x:v>
      </x:c>
      <x:c r="D35" s="85" t="str">
        <x:v>operators</x:v>
      </x:c>
      <x:c r="E35" s="85" t="str">
        <x:v>Peace Communications (Formerly Nexus Group)</x:v>
      </x:c>
      <x:c r="F35" s="85" t="str">
        <x:v>Nexus Group | Peace Communications | Scipio Technologies</x:v>
      </x:c>
      <x:c r="G35" s="85" t="str">
        <x:v>https://scipiotech.com/support/</x:v>
      </x:c>
      <x:c r="H35" s="85" t="str">
        <x:v>Evidence-backed update</x:v>
      </x:c>
    </x:row>
    <x:row r="36">
      <x:c r="A36" s="85" t="str">
        <x:v>2026-09-03</x:v>
      </x:c>
      <x:c r="B36" s="85" t="str">
        <x:v>TNDC-038</x:v>
      </x:c>
      <x:c r="C36" s="85" t="str">
        <x:v>UPDATE</x:v>
      </x:c>
      <x:c r="D36" s="85" t="str">
        <x:v>county</x:v>
      </x:c>
      <x:c r="E36" s="85"/>
      <x:c r="F36" s="85" t="str">
        <x:v>Davidson</x:v>
      </x:c>
      <x:c r="G36" s="85" t="str">
        <x:v>https://scipiotech.com/support/</x:v>
      </x:c>
      <x:c r="H36" s="85" t="str">
        <x:v>Evidence-backed update</x:v>
      </x:c>
    </x:row>
    <x:row r="37">
      <x:c r="A37" s="85" t="str">
        <x:v>2026-09-03</x:v>
      </x:c>
      <x:c r="B37" s="85" t="str">
        <x:v>TNDC-039</x:v>
      </x:c>
      <x:c r="C37" s="85" t="str">
        <x:v>UPDATE</x:v>
      </x:c>
      <x:c r="D37" s="85" t="str">
        <x:v>address</x:v>
      </x:c>
      <x:c r="E37" s="85"/>
      <x:c r="F37" s="85" t="str">
        <x:v>1000 17th Ave N</x:v>
      </x:c>
      <x:c r="G37" s="85" t="str">
        <x:v>https://www.fisk.edu/quantumleap/</x:v>
      </x:c>
      <x:c r="H37" s="85" t="str">
        <x:v>Evidence-backed update</x:v>
      </x:c>
    </x:row>
    <x:row r="38">
      <x:c r="A38" s="85" t="str">
        <x:v>2026-09-03</x:v>
      </x:c>
      <x:c r="B38" s="85" t="str">
        <x:v>TNDC-040</x:v>
      </x:c>
      <x:c r="C38" s="85" t="str">
        <x:v>UPDATE</x:v>
      </x:c>
      <x:c r="D38" s="85" t="str">
        <x:v>address</x:v>
      </x:c>
      <x:c r="E38" s="85"/>
      <x:c r="F38" s="85" t="str">
        <x:v>2902 Brick Church Pike</x:v>
      </x:c>
      <x:c r="G38" s="85" t="str">
        <x:v>https://www.radius-dc.com/newsroom-and-events/radiusdc-breaks-ground-on-largest-data-center-in-nashville</x:v>
      </x:c>
      <x:c r="H38" s="85" t="str">
        <x:v>Evidence-backed update</x:v>
      </x:c>
    </x:row>
    <x:row r="39">
      <x:c r="A39" s="85" t="str">
        <x:v>2026-09-03</x:v>
      </x:c>
      <x:c r="B39" s="85" t="str">
        <x:v>TNDC-040</x:v>
      </x:c>
      <x:c r="C39" s="85" t="str">
        <x:v>UPDATE</x:v>
      </x:c>
      <x:c r="D39" s="85" t="str">
        <x:v>postal_code</x:v>
      </x:c>
      <x:c r="E39" s="85"/>
      <x:c r="F39" s="85" t="str">
        <x:v>37207</x:v>
      </x:c>
      <x:c r="G39" s="85" t="str">
        <x:v>https://www.radius-dc.com/newsroom-and-events/radiusdc-breaks-ground-on-largest-data-center-in-nashville</x:v>
      </x:c>
      <x:c r="H39" s="85" t="str">
        <x:v>Evidence-backed update</x:v>
      </x:c>
    </x:row>
    <x:row r="40">
      <x:c r="A40" s="85" t="str">
        <x:v>2026-09-03</x:v>
      </x:c>
      <x:c r="B40" s="85" t="str">
        <x:v>TNDC-041</x:v>
      </x:c>
      <x:c r="C40" s="85" t="str">
        <x:v>UPDATE</x:v>
      </x:c>
      <x:c r="D40" s="85" t="str">
        <x:v>county</x:v>
      </x:c>
      <x:c r="E40" s="85"/>
      <x:c r="F40" s="85" t="str">
        <x:v>Davidson</x:v>
      </x:c>
      <x:c r="G40" s="85" t="str">
        <x:v>https://www.datacenterjournal.com/data-centers/tennessee/hendersonville/xo-nashville/</x:v>
      </x:c>
      <x:c r="H40" s="85" t="str">
        <x:v>Evidence-backed update</x:v>
      </x:c>
    </x:row>
    <x:row r="41">
      <x:c r="A41" s="85" t="str">
        <x:v>2026-09-03</x:v>
      </x:c>
      <x:c r="B41" s="85" t="str">
        <x:v>TNDC-041</x:v>
      </x:c>
      <x:c r="C41" s="85" t="str">
        <x:v>UPDATE</x:v>
      </x:c>
      <x:c r="D41" s="85" t="str">
        <x:v>operators</x:v>
      </x:c>
      <x:c r="E41" s="85" t="str">
        <x:v>XO</x:v>
      </x:c>
      <x:c r="F41" s="85" t="str">
        <x:v>XO | Verizon</x:v>
      </x:c>
      <x:c r="G41" s="85" t="str">
        <x:v>https://www.datacenterjournal.com/data-centers/tennessee/hendersonville/xo-nashville/</x:v>
      </x:c>
      <x:c r="H41" s="85" t="str">
        <x:v>Evidence-backed update</x:v>
      </x:c>
    </x:row>
    <x:row r="42">
      <x:c r="A42" s="85" t="str">
        <x:v>2026-09-03</x:v>
      </x:c>
      <x:c r="B42" s="85" t="str">
        <x:v>TNDC-042</x:v>
      </x:c>
      <x:c r="C42" s="85" t="str">
        <x:v>UPDATE</x:v>
      </x:c>
      <x:c r="D42" s="85" t="str">
        <x:v>operator</x:v>
      </x:c>
      <x:c r="E42" s="85" t="str">
        <x:v>Zayo Group</x:v>
      </x:c>
      <x:c r="F42" s="85" t="str">
        <x:v>DataBank</x:v>
      </x:c>
      <x:c r="G42" s="85" t="str">
        <x:v>https://www.datacentermap.com/usa/tennessee/nashville/zcolo-209-10th-ave-south/</x:v>
      </x:c>
      <x:c r="H42" s="85" t="str">
        <x:v>Evidence-backed update</x:v>
      </x:c>
    </x:row>
    <x:row r="43">
      <x:c r="A43" s="85" t="str">
        <x:v>2026-09-03</x:v>
      </x:c>
      <x:c r="B43" s="85" t="str">
        <x:v>TNDC-042</x:v>
      </x:c>
      <x:c r="C43" s="85" t="str">
        <x:v>UPDATE</x:v>
      </x:c>
      <x:c r="D43" s="85" t="str">
        <x:v>operators</x:v>
      </x:c>
      <x:c r="E43" s="85" t="str">
        <x:v>Zayo Group</x:v>
      </x:c>
      <x:c r="F43" s="85" t="str">
        <x:v>Zayo Group | DataBank</x:v>
      </x:c>
      <x:c r="G43" s="85" t="str">
        <x:v>https://www.datacentermap.com/usa/tennessee/nashville/zcolo-209-10th-ave-south/</x:v>
      </x:c>
      <x:c r="H43" s="85" t="str">
        <x:v>Evidence-backed update</x:v>
      </x:c>
    </x:row>
    <x:row r="44">
      <x:c r="A44" s="85" t="str">
        <x:v>2026-09-03</x:v>
      </x:c>
      <x:c r="B44" s="85" t="str">
        <x:v>TNDC-042</x:v>
      </x:c>
      <x:c r="C44" s="85" t="str">
        <x:v>UPDATE</x:v>
      </x:c>
      <x:c r="D44" s="85" t="str">
        <x:v>county</x:v>
      </x:c>
      <x:c r="E44" s="85"/>
      <x:c r="F44" s="85" t="str">
        <x:v>Davidson</x:v>
      </x:c>
      <x:c r="G44" s="85" t="str">
        <x:v>https://www.datacentermap.com/usa/tennessee/nashville/zcolo-209-10th-ave-south/</x:v>
      </x:c>
      <x:c r="H44" s="85" t="str">
        <x:v>Evidence-backed update</x:v>
      </x:c>
    </x:row>
    <x:row r="45">
      <x:c r="A45" t="str">
        <x:v>2026-09-03</x:v>
      </x:c>
      <x:c r="B45" t="str">
        <x:v>TNCAND-001</x:v>
      </x:c>
      <x:c r="C45" t="str">
        <x:v>UPDATE</x:v>
      </x:c>
      <x:c r="D45" t="str">
        <x:v>candidate location</x:v>
      </x:c>
      <x:c r="E45"/>
      <x:c r="F45" t="str">
        <x:v>36.572690, -87.342300</x:v>
      </x:c>
      <x:c r="G45" t="str">
        <x:v>FracTracker/Data Center Watch ArcGIS OBJECTID 5239</x:v>
      </x:c>
      <x:c r="H45" t="str">
        <x:v>Add source-reported low-confidence candidate coordinate; preserve candidate-only status.</x:v>
      </x:c>
    </x:row>
    <x:row r="46">
      <x:c r="A46" t="str">
        <x:v>2026-09-03</x:v>
      </x:c>
      <x:c r="B46" t="str">
        <x:v>TNCAND-002</x:v>
      </x:c>
      <x:c r="C46" t="str">
        <x:v>UPDATE</x:v>
      </x:c>
      <x:c r="D46" t="str">
        <x:v>candidate site identification</x:v>
      </x:c>
      <x:c r="E46"/>
      <x:c r="F46" t="str">
        <x:v>Renovare Rd / Development Area 5 / Parcel 021-002.04</x:v>
      </x:c>
      <x:c r="G46" t="str">
        <x:v>Oak Ridge EDI development map + Oak Ridge parcel/rezoning records</x:v>
      </x:c>
      <x:c r="H46" t="str">
        <x:v>Narrow candidate to a defensible parcel/site area while leaving lat/lon null until a verified point is available.</x:v>
      </x:c>
    </x:row>
    <x:row r="47">
      <x:c r="A47" t="str">
        <x:v>2026-09-03</x:v>
      </x:c>
      <x:c r="B47" t="str">
        <x:v>TNCAND-003</x:v>
      </x:c>
      <x:c r="C47" t="str">
        <x:v>UPDATE</x:v>
      </x:c>
      <x:c r="D47" t="str">
        <x:v>candidate location</x:v>
      </x:c>
      <x:c r="E47"/>
      <x:c r="F47" t="str">
        <x:v>35.923380, -84.141330</x:v>
      </x:c>
      <x:c r="G47" t="str">
        <x:v>MyEListing Corridor Park Lots 21 &amp; 23 listing</x:v>
      </x:c>
      <x:c r="H47" t="str">
        <x:v>Add listing/site-level coordinate for TVA-certified data-center site.</x:v>
      </x:c>
    </x:row>
    <x:row r="48">
      <x:c r="A48" t="str">
        <x:v>2026-09-03</x:v>
      </x:c>
      <x:c r="B48" t="str">
        <x:v>TNCAND-004</x:v>
      </x:c>
      <x:c r="C48" t="str">
        <x:v>UPDATE</x:v>
      </x:c>
      <x:c r="D48" t="str">
        <x:v>candidate location</x:v>
      </x:c>
      <x:c r="E48"/>
      <x:c r="F48" t="str">
        <x:v>35.671471, -88.764892</x:v>
      </x:c>
      <x:c r="G48" t="str">
        <x:v>WTIA Tiger Jones Technology Park site specification</x:v>
      </x:c>
      <x:c r="H48" t="str">
        <x:v>Add source-published site coordinate and street address.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4" hidden="0" customWidth="1"/>
    <x:col min="3" max="3" width="12" hidden="0" customWidth="1"/>
    <x:col min="4" max="4" width="68" hidden="0" customWidth="1"/>
  </x:cols>
  <x:sheetData>
    <x:row r="1">
      <x:c r="A1" s="99" t="str">
        <x:v>Proposal / Dataset Readiness — 2026-09-03</x:v>
      </x:c>
      <x:c r="B1" s="99"/>
      <x:c r="C1" s="99"/>
      <x:c r="D1" s="99"/>
    </x:row>
    <x:row r="3">
      <x:c r="A3" s="104" t="str">
        <x:v>Metric</x:v>
      </x:c>
      <x:c r="B3" s="104" t="str">
        <x:v>Current state</x:v>
      </x:c>
      <x:c r="C3" s="104" t="str">
        <x:v>Status</x:v>
      </x:c>
      <x:c r="D3" s="104" t="str">
        <x:v>QA meaning</x:v>
      </x:c>
    </x:row>
    <x:row r="4">
      <x:c r="A4" s="105" t="str">
        <x:v>Tennessee facility inventory</x:v>
      </x:c>
      <x:c r="B4" s="105" t="str">
        <x:f>COUNTA(Master!A2:A1000)&amp;" Master entities + "&amp;COUNTA(Candidate_Sites!A2:A1000)&amp;" candidates"</x:f>
        <x:v>45 Master entities + 4 candidates</x:v>
      </x:c>
      <x:c r="C4" s="110" t="str">
        <x:v>✅</x:v>
      </x:c>
      <x:c r="D4" s="105" t="str">
        <x:v>Master stays the stable facility/campus table; candidate siting opportunities are tracked separately.</x:v>
      </x:c>
    </x:row>
    <x:row r="5">
      <x:c r="A5" s="85" t="str">
        <x:v>Operating sites</x:v>
      </x:c>
      <x:c r="B5" s="85" t="str">
        <x:f>COUNTIFS(Master!V2:V1000,"core_data_center",Master!Q2:Q1000,"operational")&amp;"/"&amp;COUNTIF(Master!V2:V1000,"core_data_center")&amp;" core operational"</x:f>
        <x:v>27/35 core operational</x:v>
      </x:c>
      <x:c r="C5" s="111" t="str">
        <x:v>✅</x:v>
      </x:c>
      <x:c r="D5" s="85" t="str">
        <x:v>Lifecycle is normalized with allowed vocabulary and updated only from evidence.</x:v>
      </x:c>
    </x:row>
    <x:row r="6">
      <x:c r="A6" s="105" t="str">
        <x:v>Announced / proposed / construction</x:v>
      </x:c>
      <x:c r="B6" s="105" t="str">
        <x:f>COUNTIFS(Master!V2:V1000,"core_data_center",Master!Q2:Q1000,"proposed")&amp;" proposed + "&amp;COUNTIFS(Master!V2:V1000,"core_data_center",Master!Q2:Q1000,"under_construction")&amp;" under construction + "&amp;COUNTIFS(Master!V2:V1000,"core_data_center",Master!Q2:Q1000,"expanding")&amp;" expanding + "&amp;COUNTIFS(Master!V2:V1000,"core_data_center",Master!Q2:Q1000,"cancelled")&amp;" cancelled"</x:f>
        <x:v>4 proposed + 2 under construction + 1 expanding + 1 cancelled</x:v>
      </x:c>
      <x:c r="C6" s="110" t="str">
        <x:v>✅</x:v>
      </x:c>
      <x:c r="D6" s="105" t="str">
        <x:v>Proposed, under_construction, expanding and cancelled states are represented without adding candidate to lifecycle vocabulary.</x:v>
      </x:c>
    </x:row>
    <x:row r="7">
      <x:c r="A7" s="85" t="str">
        <x:v>Candidate sites</x:v>
      </x:c>
      <x:c r="B7" s="85" t="str">
        <x:f>COUNTA(Candidate_Sites!A2:A1000)&amp;" explicitly tracked candidates"</x:f>
        <x:v>4 explicitly tracked candidates</x:v>
      </x:c>
      <x:c r="C7" s="111" t="str">
        <x:v>✅</x:v>
      </x:c>
      <x:c r="D7" s="85" t="str">
        <x:v>Explicit candidate layer exists and is populated.</x:v>
      </x:c>
    </x:row>
    <x:row r="8">
      <x:c r="A8" s="105" t="str">
        <x:v>Facility status</x:v>
      </x:c>
      <x:c r="B8" s="105" t="str">
        <x:f>COUNTIF(Master!Q2:Q1000,"&lt;&gt;")&amp;"/"&amp;COUNTA(Master!A2:A1000)&amp;" normalized statuses"</x:f>
        <x:v>45/45 normalized statuses</x:v>
      </x:c>
      <x:c r="C8" s="110" t="str">
        <x:v>✅</x:v>
      </x:c>
      <x:c r="D8" s="105" t="str">
        <x:v>Normalized status + source terms + conflict flag preserved.</x:v>
      </x:c>
    </x:row>
    <x:row r="9">
      <x:c r="A9" s="85" t="str">
        <x:v>Operator</x:v>
      </x:c>
      <x:c r="B9" s="85" t="str">
        <x:f>COUNTIFS(Master!V2:V1000,"core_data_center",Master!C2:C1000,"&lt;&gt;")&amp;"/"&amp;COUNTIF(Master!V2:V1000,"core_data_center")&amp;" named; remaining states explicit"</x:f>
        <x:v>33/35 named; remaining states explicit</x:v>
      </x:c>
      <x:c r="C9" s="111" t="str">
        <x:v>✅</x:v>
      </x:c>
      <x:c r="D9" s="85" t="str">
        <x:v>Each core row has either a named operator or an explicit unresolved operator state; no operator is fabricated.</x:v>
      </x:c>
    </x:row>
    <x:row r="10">
      <x:c r="A10" s="105" t="str">
        <x:v>Latitude / longitude</x:v>
      </x:c>
      <x:c r="B10" s="105" t="str">
        <x:f>COUNTIFS(Master!V2:V1000,"core_data_center",Master!J2:J1000,"&lt;&gt;",Master!K2:K1000,"&lt;&gt;")&amp;"/"&amp;COUNTIF(Master!V2:V1000,"core_data_center")&amp;" core with coordinates"</x:f>
        <x:v>35/35 core with coordinates</x:v>
      </x:c>
      <x:c r="C10" s="110" t="str">
        <x:v>✅</x:v>
      </x:c>
      <x:c r="D10" s="105" t="str">
        <x:v>All core rows retain numeric WGS84 coordinates.</x:v>
      </x:c>
    </x:row>
    <x:row r="11">
      <x:c r="A11" s="85" t="str">
        <x:v>Location precision</x:v>
      </x:c>
      <x:c r="B11" s="85" t="str">
        <x:f>COUNTIFS(Master!V2:V1000,"core_data_center",Master!L2:L1000,"&lt;&gt;",Master!M2:M1000,"&lt;&gt;")&amp;"/"&amp;COUNTIF(Master!V2:V1000,"core_data_center")&amp;" core rows classified"</x:f>
        <x:v>35/35 core rows classified</x:v>
      </x:c>
      <x:c r="C11" s="111" t="str">
        <x:v>✅</x:v>
      </x:c>
      <x:c r="D11" s="85" t="str">
        <x:v>Every core row has controlled precision + confidence; low-precision points remain flagged instead of being forced exact.</x:v>
      </x:c>
    </x:row>
    <x:row r="12">
      <x:c r="A12" s="105" t="str">
        <x:v>Geographic uncertainty</x:v>
      </x:c>
      <x:c r="B12" s="105" t="str">
        <x:f>COUNTIF(Master!O2:O46,"&gt;1")&amp;" coordinate-conflict rows explicitly flagged"</x:f>
        <x:v>4 coordinate-conflict rows explicitly flagged</x:v>
      </x:c>
      <x:c r="C12" s="110" t="str">
        <x:v>✅</x:v>
      </x:c>
      <x:c r="D12" s="105" t="str">
        <x:v>Coordinate spread/conflict and normalized confidence are retained.</x:v>
      </x:c>
    </x:row>
    <x:row r="13">
      <x:c r="A13" s="85" t="str">
        <x:v>Source provenance</x:v>
      </x:c>
      <x:c r="B13" s="85" t="str">
        <x:f>COUNTIF(Master!AE2:AE1000,"&lt;&gt;")&amp;"/"&amp;COUNTA(Master!A2:A1000)&amp;" with evidence URLs"</x:f>
        <x:v>45/45 with evidence URLs</x:v>
      </x:c>
      <x:c r="C13" s="111" t="str">
        <x:v>✅</x:v>
      </x:c>
      <x:c r="D13" s="85" t="str">
        <x:v>Evidence URLs and source record IDs retained for every Master row.</x:v>
      </x:c>
    </x:row>
    <x:row r="14">
      <x:c r="A14" s="105" t="str">
        <x:v>Multi-source cross-validation</x:v>
      </x:c>
      <x:c r="B14" s="105" t="str">
        <x:f>COUNTIFS(Master!V2:V46,"core_data_center",Master!AI2:AI46,"&gt;=2")&amp;"/"&amp;COUNTIF(Master!V2:V46,"core_data_center")&amp;" core cross-verified"</x:f>
        <x:v>35/35 core cross-verified</x:v>
      </x:c>
      <x:c r="C14" s="110" t="str">
        <x:v>✅</x:v>
      </x:c>
      <x:c r="D14" s="105" t="str">
        <x:v>Every core row has at least two independent public evidence domains and at least two source records after supplementation.</x:v>
      </x:c>
    </x:row>
    <x:row r="15">
      <x:c r="A15" s="85" t="str">
        <x:v>Source-confidence score</x:v>
      </x:c>
      <x:c r="B15" s="85" t="str">
        <x:f>COUNT(Master!AK2:AK46)&amp;"/"&amp;COUNTA(Master!A2:A46)&amp;" scored"</x:f>
        <x:v>45/45 scored</x:v>
      </x:c>
      <x:c r="C15" s="111" t="str">
        <x:v>✅</x:v>
      </x:c>
      <x:c r="D15" s="85" t="str">
        <x:v>Every Master row has a preliminary auditable confidence score/class.</x:v>
      </x:c>
    </x:row>
    <x:row r="16">
      <x:c r="A16" s="105" t="str">
        <x:v>Backward compatibility</x:v>
      </x:c>
      <x:c r="B16" s="105" t="str">
        <x:f>"A:AF preserved; schema "&amp;Master!AN2&amp;"; dataset "&amp;Master!AO2</x:f>
        <x:v>A:AF preserved; schema 1.1; dataset 2026-09-03</x:v>
      </x:c>
      <x:c r="C16" s="110" t="str">
        <x:v>✅</x:v>
      </x:c>
      <x:c r="D16" s="105" t="str">
        <x:v>Master A:AF and facility IDs are preserved; schema evolution is additive.</x:v>
      </x:c>
    </x:row>
    <x:row r="17">
      <x:c r="A17" s="85" t="str">
        <x:v>ML / map type contract</x:v>
      </x:c>
      <x:c r="B17" s="85" t="str">
        <x:f>"IDs stable; numeric/Boolean fields normalized; vocabularies validated"</x:f>
        <x:v>IDs stable; numeric/Boolean fields normalized; vocabularies validated</x:v>
      </x:c>
      <x:c r="C17" s="111" t="str">
        <x:v>✅</x:v>
      </x:c>
      <x:c r="D17" s="85" t="str">
        <x:v>Numeric and Boolean Master fields normalized; controlled vocabularies respected.</x:v>
      </x:c>
    </x:row>
    <x:row r="20">
      <x:c r="A20" s="116" t="str">
        <x:v>Review queue: 5 unresolved items remain explicitly flagged; see Review_Queue.</x:v>
      </x:c>
      <x:c r="B20" s="116"/>
      <x:c r="C20" s="116"/>
      <x:c r="D20" s="116"/>
    </x:row>
    <x:row r="21">
      <x:c r="A21" s="102"/>
      <x:c r="B21" s="102"/>
      <x:c r="C21" s="102"/>
      <x:c r="D21" s="102"/>
    </x:row>
    <x:row r="22">
      <x:c r="A22" s="85"/>
      <x:c r="B22" s="85"/>
      <x:c r="C22" s="85"/>
      <x:c r="D22" s="85"/>
    </x:row>
    <x:row r="23">
      <x:c r="A23" s="85"/>
      <x:c r="B23" s="85"/>
      <x:c r="C23" s="85"/>
      <x:c r="D23" s="85"/>
    </x:row>
    <x:row r="24">
      <x:c r="A24" s="85"/>
      <x:c r="B24" s="85"/>
      <x:c r="C24" s="85"/>
      <x:c r="D24" s="85"/>
    </x:row>
    <x:row r="25">
      <x:c r="A25" s="85"/>
      <x:c r="B25" s="85"/>
      <x:c r="C25" s="85"/>
      <x:c r="D25" s="85"/>
    </x:row>
    <x:row r="26">
      <x:c r="A26" s="85"/>
      <x:c r="B26" s="85"/>
      <x:c r="C26" s="85"/>
      <x:c r="D26" s="85"/>
    </x:row>
  </x:sheetData>
  <x:mergeCells>
    <x:mergeCell ref="A1:D1"/>
    <x:mergeCell ref="A20:D20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0" hidden="0" customWidth="1"/>
    <x:col min="4" max="4" width="58" hidden="0" customWidth="1"/>
    <x:col min="5" max="5" width="58" hidden="0" customWidth="1"/>
    <x:col min="6" max="6" width="34" hidden="0" customWidth="1"/>
    <x:col min="7" max="7" width="14" hidden="0" customWidth="1"/>
  </x:cols>
  <x:sheetData>
    <x:row r="1">
      <x:c r="A1" s="84" t="str">
        <x:v>facility_id</x:v>
      </x:c>
      <x:c r="B1" s="84" t="str">
        <x:v>facility_name</x:v>
      </x:c>
      <x:c r="C1" s="84" t="str">
        <x:v>issue_type</x:v>
      </x:c>
      <x:c r="D1" s="84" t="str">
        <x:v>issue</x:v>
      </x:c>
      <x:c r="E1" s="84" t="str">
        <x:v>required_handling</x:v>
      </x:c>
      <x:c r="F1" s="84" t="str">
        <x:v>evidence_status</x:v>
      </x:c>
      <x:c r="G1" s="84" t="str">
        <x:v>review_priority</x:v>
      </x:c>
    </x:row>
    <x:row r="2">
      <x:c r="A2" s="85" t="str">
        <x:v>TNDC-006</x:v>
      </x:c>
      <x:c r="B2" s="85" t="str">
        <x:v>Cielo Montgomery County AI Campus</x:v>
      </x:c>
      <x:c r="C2" s="85" t="str">
        <x:v>verification</x:v>
      </x:c>
      <x:c r="D2" s="85" t="str">
        <x:v>Candidate/unverified market listing; local June 2026 reporting said no data-center proposal was under discussion.</x:v>
      </x:c>
      <x:c r="E2" s="85" t="str">
        <x:v>Keep as candidate; do not use as confirmed treatment unless new local evidence appears.</x:v>
      </x:c>
      <x:c r="F2" s="85" t="str">
        <x:v>multiple public sources; local contradiction</x:v>
      </x:c>
      <x:c r="G2" s="85" t="str">
        <x:v>high</x:v>
      </x:c>
    </x:row>
    <x:row r="3">
      <x:c r="A3" s="85" t="str">
        <x:v>TNDC-023</x:v>
      </x:c>
      <x:c r="B3" s="85" t="str">
        <x:v>Hixson Data Center (McMinnville)</x:v>
      </x:c>
      <x:c r="C3" s="85" t="str">
        <x:v>coordinate</x:v>
      </x:c>
      <x:c r="D3" s="85" t="str">
        <x:v>Coordinate disagreement exceeds 7 km; only area/city-level point is defensible.</x:v>
      </x:c>
      <x:c r="E3" s="85" t="str">
        <x:v>Resolve parcel/site before parcel-distance analysis.</x:v>
      </x:c>
      <x:c r="F3" s="85" t="str">
        <x:v>source coordinate conflict retained</x:v>
      </x:c>
      <x:c r="G3" s="85" t="str">
        <x:v>high</x:v>
      </x:c>
    </x:row>
    <x:row r="4">
      <x:c r="A4" s="85" t="str">
        <x:v>TNDC-025</x:v>
      </x:c>
      <x:c r="B4" s="85" t="str">
        <x:v>Colossus (generic)</x:v>
      </x:c>
      <x:c r="C4" s="85" t="str">
        <x:v>entity_resolution</x:v>
      </x:c>
      <x:c r="D4" s="85" t="str">
        <x:v>Generic Colossus record may overlap TNDC-030 and TNDC-031.</x:v>
      </x:c>
      <x:c r="E4" s="85" t="str">
        <x:v>Do not double-count; manually resolve entity identity.</x:v>
      </x:c>
      <x:c r="F4" s="85" t="str">
        <x:v>multiple sources, identity ambiguous</x:v>
      </x:c>
      <x:c r="G4" s="85" t="str">
        <x:v>high</x:v>
      </x:c>
    </x:row>
    <x:row r="5">
      <x:c r="A5" s="85" t="str">
        <x:v>TNDC-037</x:v>
      </x:c>
      <x:c r="B5" s="85" t="str">
        <x:v>Level(3)/Lumen Nashville (Sidco)</x:v>
      </x:c>
      <x:c r="C5" s="85" t="str">
        <x:v>address</x:v>
      </x:c>
      <x:c r="D5" s="85" t="str">
        <x:v>Master has 2992 Sidco Drive while independent confirmed list reports 2990 Sidco Drive.</x:v>
      </x:c>
      <x:c r="E5" s="85" t="str">
        <x:v>Resolve parcel/address before exact geospatial joins.</x:v>
      </x:c>
      <x:c r="F5" s="85" t="str">
        <x:v>address contradiction</x:v>
      </x:c>
      <x:c r="G5" s="85" t="str">
        <x:v>medium</x:v>
      </x:c>
    </x:row>
    <x:row r="6">
      <x:c r="A6" s="85" t="str">
        <x:v>TNDC-039</x:v>
      </x:c>
      <x:c r="B6" s="85" t="str">
        <x:v>Quantum Leap Data Center / Fisk University</x:v>
      </x:c>
      <x:c r="C6" s="85" t="str">
        <x:v>operator</x:v>
      </x:c>
      <x:c r="D6" s="85" t="str">
        <x:v>Fisk confirms project/campus but operating data-center partner is not publicly identified.</x:v>
      </x:c>
      <x:c r="E6" s="85" t="str">
        <x:v>Leave operator null until public operator evidence exists.</x:v>
      </x:c>
      <x:c r="F6" s="85" t="str">
        <x:v>project verified; operator unresolved</x:v>
      </x:c>
      <x:c r="G6" s="85" t="str">
        <x:v>medium</x:v>
      </x:c>
    </x:row>
  </x:sheetData>
  <x:pageMargins left="0.7" right="0.7" top="0.75" bottom="0.75" header="0.3" footer="0.3"/>
</x:worksheet>
</file>